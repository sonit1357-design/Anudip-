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204" yWindow="588" windowWidth="22716" windowHeight="8676" activeTab="4"/>
  </bookViews>
  <sheets>
    <sheet name="Employee_Salary" sheetId="1" r:id="rId1"/>
    <sheet name="Logical Functions" sheetId="2" r:id="rId2"/>
    <sheet name="LOOKups" sheetId="3" r:id="rId3"/>
    <sheet name="Sorting" sheetId="4" r:id="rId4"/>
    <sheet name="pivot chart &amp; table" sheetId="6" r:id="rId5"/>
  </sheets>
  <definedNames>
    <definedName name="_xlnm._FilterDatabase" localSheetId="1" hidden="1">'Logical Functions'!$A$1:$J$201</definedName>
    <definedName name="_xlnm._FilterDatabase" localSheetId="2" hidden="1">LOOKups!$A$1:$J$201</definedName>
  </definedNames>
  <calcPr calcId="124519"/>
  <pivotCaches>
    <pivotCache cacheId="9" r:id="rId6"/>
  </pivotCaches>
</workbook>
</file>

<file path=xl/calcChain.xml><?xml version="1.0" encoding="utf-8"?>
<calcChain xmlns="http://schemas.openxmlformats.org/spreadsheetml/2006/main">
  <c r="O27" i="3"/>
  <c r="O17"/>
  <c r="O21"/>
  <c r="O13"/>
  <c r="O8"/>
  <c r="AB26" i="2"/>
  <c r="AB23"/>
  <c r="AB20"/>
  <c r="AB17"/>
  <c r="AB14"/>
  <c r="AB11"/>
  <c r="AB8"/>
  <c r="AB5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"/>
</calcChain>
</file>

<file path=xl/sharedStrings.xml><?xml version="1.0" encoding="utf-8"?>
<sst xmlns="http://schemas.openxmlformats.org/spreadsheetml/2006/main" count="3329" uniqueCount="345">
  <si>
    <t>Employee_ID</t>
  </si>
  <si>
    <t>Employee_Name</t>
  </si>
  <si>
    <t>Department</t>
  </si>
  <si>
    <t>Designation</t>
  </si>
  <si>
    <t>Basic_Salary</t>
  </si>
  <si>
    <t>HRA</t>
  </si>
  <si>
    <t>Allowances</t>
  </si>
  <si>
    <t>PF</t>
  </si>
  <si>
    <t>Deductions</t>
  </si>
  <si>
    <t>EMP001</t>
  </si>
  <si>
    <t>Priya Patel</t>
  </si>
  <si>
    <t>Operations</t>
  </si>
  <si>
    <t>Intern</t>
  </si>
  <si>
    <t>EMP002</t>
  </si>
  <si>
    <t>Rohit Kumar</t>
  </si>
  <si>
    <t>HR</t>
  </si>
  <si>
    <t>Senior Executive</t>
  </si>
  <si>
    <t>EMP003</t>
  </si>
  <si>
    <t>Amit Roy</t>
  </si>
  <si>
    <t>EMP004</t>
  </si>
  <si>
    <t>Vikash Mishra</t>
  </si>
  <si>
    <t>Marketing</t>
  </si>
  <si>
    <t>Executive</t>
  </si>
  <si>
    <t>EMP005</t>
  </si>
  <si>
    <t>Arjun Das</t>
  </si>
  <si>
    <t>Sales</t>
  </si>
  <si>
    <t>EMP006</t>
  </si>
  <si>
    <t>Amit Sharma</t>
  </si>
  <si>
    <t>Team Lead</t>
  </si>
  <si>
    <t>EMP007</t>
  </si>
  <si>
    <t>Amit Das</t>
  </si>
  <si>
    <t>EMP008</t>
  </si>
  <si>
    <t>Rahul Roy</t>
  </si>
  <si>
    <t>IT</t>
  </si>
  <si>
    <t>EMP009</t>
  </si>
  <si>
    <t>Vikash Verma</t>
  </si>
  <si>
    <t>Manager</t>
  </si>
  <si>
    <t>EMP010</t>
  </si>
  <si>
    <t>Priya Gupta</t>
  </si>
  <si>
    <t>EMP011</t>
  </si>
  <si>
    <t>Arjun Gupta</t>
  </si>
  <si>
    <t>EMP012</t>
  </si>
  <si>
    <t>Anjali Patel</t>
  </si>
  <si>
    <t>EMP013</t>
  </si>
  <si>
    <t>Neha Pal</t>
  </si>
  <si>
    <t>EMP014</t>
  </si>
  <si>
    <t>Neha Das</t>
  </si>
  <si>
    <t>EMP015</t>
  </si>
  <si>
    <t>Amit Gupta</t>
  </si>
  <si>
    <t>Finance</t>
  </si>
  <si>
    <t>EMP016</t>
  </si>
  <si>
    <t>Rahul Singh</t>
  </si>
  <si>
    <t>EMP017</t>
  </si>
  <si>
    <t>EMP018</t>
  </si>
  <si>
    <t>Amit Kumar</t>
  </si>
  <si>
    <t>EMP019</t>
  </si>
  <si>
    <t>Vikash Sharma</t>
  </si>
  <si>
    <t>EMP020</t>
  </si>
  <si>
    <t>Pooja Mishra</t>
  </si>
  <si>
    <t>EMP021</t>
  </si>
  <si>
    <t>Priya Verma</t>
  </si>
  <si>
    <t>EMP022</t>
  </si>
  <si>
    <t>Priya Kumar</t>
  </si>
  <si>
    <t>EMP023</t>
  </si>
  <si>
    <t>Pooja Pal</t>
  </si>
  <si>
    <t>EMP024</t>
  </si>
  <si>
    <t>EMP025</t>
  </si>
  <si>
    <t>Arjun Roy</t>
  </si>
  <si>
    <t>EMP026</t>
  </si>
  <si>
    <t>Anjali Gupta</t>
  </si>
  <si>
    <t>EMP027</t>
  </si>
  <si>
    <t>Neha Singh</t>
  </si>
  <si>
    <t>EMP028</t>
  </si>
  <si>
    <t>Anjali Roy</t>
  </si>
  <si>
    <t>EMP029</t>
  </si>
  <si>
    <t>EMP030</t>
  </si>
  <si>
    <t>EMP031</t>
  </si>
  <si>
    <t>Arjun Sharma</t>
  </si>
  <si>
    <t>EMP032</t>
  </si>
  <si>
    <t>Priya Roy</t>
  </si>
  <si>
    <t>EMP033</t>
  </si>
  <si>
    <t>Pooja Gupta</t>
  </si>
  <si>
    <t>EMP034</t>
  </si>
  <si>
    <t>Rohit Sharma</t>
  </si>
  <si>
    <t>EMP035</t>
  </si>
  <si>
    <t>Vikash Pal</t>
  </si>
  <si>
    <t>EMP036</t>
  </si>
  <si>
    <t>Pooja Sharma</t>
  </si>
  <si>
    <t>EMP037</t>
  </si>
  <si>
    <t>EMP038</t>
  </si>
  <si>
    <t>EMP039</t>
  </si>
  <si>
    <t>Rohit Roy</t>
  </si>
  <si>
    <t>EMP040</t>
  </si>
  <si>
    <t>Amit Singh</t>
  </si>
  <si>
    <t>EMP041</t>
  </si>
  <si>
    <t>Vikash Singh</t>
  </si>
  <si>
    <t>EMP042</t>
  </si>
  <si>
    <t>Rahul Kumar</t>
  </si>
  <si>
    <t>EMP043</t>
  </si>
  <si>
    <t>EMP044</t>
  </si>
  <si>
    <t>Priya Singh</t>
  </si>
  <si>
    <t>EMP045</t>
  </si>
  <si>
    <t>Suman Patel</t>
  </si>
  <si>
    <t>EMP046</t>
  </si>
  <si>
    <t>Neha Roy</t>
  </si>
  <si>
    <t>EMP047</t>
  </si>
  <si>
    <t>EMP048</t>
  </si>
  <si>
    <t>Arjun Mishra</t>
  </si>
  <si>
    <t>EMP049</t>
  </si>
  <si>
    <t>Pooja Roy</t>
  </si>
  <si>
    <t>EMP050</t>
  </si>
  <si>
    <t>Neha Gupta</t>
  </si>
  <si>
    <t>EMP051</t>
  </si>
  <si>
    <t>EMP052</t>
  </si>
  <si>
    <t>EMP053</t>
  </si>
  <si>
    <t>Rahul Pal</t>
  </si>
  <si>
    <t>EMP054</t>
  </si>
  <si>
    <t>Rohit Pal</t>
  </si>
  <si>
    <t>EMP055</t>
  </si>
  <si>
    <t>EMP056</t>
  </si>
  <si>
    <t>Suman Pal</t>
  </si>
  <si>
    <t>EMP057</t>
  </si>
  <si>
    <t>EMP058</t>
  </si>
  <si>
    <t>Rohit Das</t>
  </si>
  <si>
    <t>EMP059</t>
  </si>
  <si>
    <t>EMP060</t>
  </si>
  <si>
    <t>Rohit Patel</t>
  </si>
  <si>
    <t>EMP061</t>
  </si>
  <si>
    <t>Neha Sharma</t>
  </si>
  <si>
    <t>EMP062</t>
  </si>
  <si>
    <t>Rahul Gupta</t>
  </si>
  <si>
    <t>EMP063</t>
  </si>
  <si>
    <t>EMP064</t>
  </si>
  <si>
    <t>Vikash Das</t>
  </si>
  <si>
    <t>EMP065</t>
  </si>
  <si>
    <t>Priya Pal</t>
  </si>
  <si>
    <t>EMP066</t>
  </si>
  <si>
    <t>EMP067</t>
  </si>
  <si>
    <t>Rahul Verma</t>
  </si>
  <si>
    <t>EMP068</t>
  </si>
  <si>
    <t>Anjali Kumar</t>
  </si>
  <si>
    <t>EMP069</t>
  </si>
  <si>
    <t>EMP070</t>
  </si>
  <si>
    <t>Suman Roy</t>
  </si>
  <si>
    <t>EMP071</t>
  </si>
  <si>
    <t>EMP072</t>
  </si>
  <si>
    <t>EMP073</t>
  </si>
  <si>
    <t>EMP074</t>
  </si>
  <si>
    <t>EMP075</t>
  </si>
  <si>
    <t>Suman Sharma</t>
  </si>
  <si>
    <t>EMP076</t>
  </si>
  <si>
    <t>EMP077</t>
  </si>
  <si>
    <t>Suman Singh</t>
  </si>
  <si>
    <t>EMP078</t>
  </si>
  <si>
    <t>EMP079</t>
  </si>
  <si>
    <t>EMP080</t>
  </si>
  <si>
    <t>Arjun Kumar</t>
  </si>
  <si>
    <t>EMP081</t>
  </si>
  <si>
    <t>EMP082</t>
  </si>
  <si>
    <t>EMP083</t>
  </si>
  <si>
    <t>Pooja Kumar</t>
  </si>
  <si>
    <t>EMP084</t>
  </si>
  <si>
    <t>EMP085</t>
  </si>
  <si>
    <t>EMP086</t>
  </si>
  <si>
    <t>Rahul Sharma</t>
  </si>
  <si>
    <t>EMP087</t>
  </si>
  <si>
    <t>EMP088</t>
  </si>
  <si>
    <t>Suman Kumar</t>
  </si>
  <si>
    <t>EMP089</t>
  </si>
  <si>
    <t>Anjali Verma</t>
  </si>
  <si>
    <t>EMP090</t>
  </si>
  <si>
    <t>Rahul Patel</t>
  </si>
  <si>
    <t>EMP091</t>
  </si>
  <si>
    <t>EMP092</t>
  </si>
  <si>
    <t>Arjun Pal</t>
  </si>
  <si>
    <t>EMP093</t>
  </si>
  <si>
    <t>EMP094</t>
  </si>
  <si>
    <t>Anjali Pal</t>
  </si>
  <si>
    <t>EMP095</t>
  </si>
  <si>
    <t>EMP096</t>
  </si>
  <si>
    <t>EMP097</t>
  </si>
  <si>
    <t>EMP098</t>
  </si>
  <si>
    <t>EMP099</t>
  </si>
  <si>
    <t>EMP100</t>
  </si>
  <si>
    <t>Suman Mishra</t>
  </si>
  <si>
    <t>EMP101</t>
  </si>
  <si>
    <t>EMP102</t>
  </si>
  <si>
    <t>Neha Kumar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</si>
  <si>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</si>
  <si>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</si>
  <si>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</si>
  <si>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</si>
  <si>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</si>
  <si>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</si>
  <si>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</si>
  <si>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</si>
  <si>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</si>
  <si>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</si>
  <si>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</si>
  <si>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</si>
  <si>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Rohit Singh</t>
  </si>
  <si>
    <t>EMP115</t>
  </si>
  <si>
    <t>EMP116</t>
  </si>
  <si>
    <t>EMP117</t>
  </si>
  <si>
    <t>Priya Mishra</t>
  </si>
  <si>
    <t>EMP118</t>
  </si>
  <si>
    <t>Rohit Mishra</t>
  </si>
  <si>
    <t>EMP119</t>
  </si>
  <si>
    <t>EMP120</t>
  </si>
  <si>
    <t>Arjun Patel</t>
  </si>
  <si>
    <t>EMP121</t>
  </si>
  <si>
    <t>EMP122</t>
  </si>
  <si>
    <t>EMP123</t>
  </si>
  <si>
    <t>Neha Patel</t>
  </si>
  <si>
    <t>EMP124</t>
  </si>
  <si>
    <t>EMP125</t>
  </si>
  <si>
    <t>EMP126</t>
  </si>
  <si>
    <t>Neha Verma</t>
  </si>
  <si>
    <t>EMP127</t>
  </si>
  <si>
    <t>EMP128</t>
  </si>
  <si>
    <t>Rohit Gupta</t>
  </si>
  <si>
    <t>EMP129</t>
  </si>
  <si>
    <t>Suman Das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</si>
  <si>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</si>
  <si>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</si>
  <si>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</si>
  <si>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</si>
  <si>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</si>
  <si>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</si>
  <si>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</si>
  <si>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</si>
  <si>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Pooja Verma</t>
  </si>
  <si>
    <t>EMP138</t>
  </si>
  <si>
    <t>Pooja Patel</t>
  </si>
  <si>
    <t>EMP139</t>
  </si>
  <si>
    <t>EMP140</t>
  </si>
  <si>
    <t>Pooja Das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</si>
  <si>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</si>
  <si>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</si>
  <si>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</si>
  <si>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</si>
  <si>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</si>
  <si>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</si>
  <si>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</si>
  <si>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</si>
  <si>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</si>
  <si>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</si>
  <si>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</si>
  <si>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</si>
  <si>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</si>
  <si>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</si>
  <si>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</si>
  <si>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</si>
  <si>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</si>
  <si>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Pooja Singh</t>
  </si>
  <si>
    <t>EMP158</t>
  </si>
  <si>
    <t>EMP159</t>
  </si>
  <si>
    <t>EMP160</t>
  </si>
  <si>
    <t>EMP161</t>
  </si>
  <si>
    <t>EMP162</t>
  </si>
  <si>
    <t>EMP163</t>
  </si>
  <si>
    <t>EMP164</t>
  </si>
  <si>
    <t>Anjali Das</t>
  </si>
  <si>
    <t>EMP165</t>
  </si>
  <si>
    <t>EMP166</t>
  </si>
  <si>
    <t>EMP167</t>
  </si>
  <si>
    <t>EMP168</t>
  </si>
  <si>
    <t>EMP169</t>
  </si>
  <si>
    <t>EMP170</t>
  </si>
  <si>
    <t>EMP171</t>
  </si>
  <si>
    <t>Neha Mishra</t>
  </si>
  <si>
    <t>EMP172</t>
  </si>
  <si>
    <t>EMP173</t>
  </si>
  <si>
    <t>Priya Sharma</t>
  </si>
  <si>
    <t>EMP174</t>
  </si>
  <si>
    <t>EMP175</t>
  </si>
  <si>
    <t>Priya Das</t>
  </si>
  <si>
    <t>EMP176</t>
  </si>
  <si>
    <t>EMP177</t>
  </si>
  <si>
    <t>EMP178</t>
  </si>
  <si>
    <t>EMP179</t>
  </si>
  <si>
    <t>EMP180</t>
  </si>
  <si>
    <t>EMP181</t>
  </si>
  <si>
    <t>Rahul Das</t>
  </si>
  <si>
    <t>EMP182</t>
  </si>
  <si>
    <t>EMP183</t>
  </si>
  <si>
    <t>EMP184</t>
  </si>
  <si>
    <t>Anjali Sharma</t>
  </si>
  <si>
    <t>EMP185</t>
  </si>
  <si>
    <t>EMP186</t>
  </si>
  <si>
    <t>Vikash Kumar</t>
  </si>
  <si>
    <t>EMP187</t>
  </si>
  <si>
    <t>EMP188</t>
  </si>
  <si>
    <t>EMP189</t>
  </si>
  <si>
    <t>EMP190</t>
  </si>
  <si>
    <t>EMP191</t>
  </si>
  <si>
    <t>EMP192</t>
  </si>
  <si>
    <t>EMP193</t>
  </si>
  <si>
    <t>Amit Mishra</t>
  </si>
  <si>
    <t>EMP194</t>
  </si>
  <si>
    <t>EMP195</t>
  </si>
  <si>
    <t>EMP196</t>
  </si>
  <si>
    <t>Rohit Verma</t>
  </si>
  <si>
    <t>EMP197</t>
  </si>
  <si>
    <t>EMP198</t>
  </si>
  <si>
    <t>EMP199</t>
  </si>
  <si>
    <t>EMP200</t>
  </si>
  <si>
    <t>Bonus</t>
  </si>
  <si>
    <t>Gross Salary</t>
  </si>
  <si>
    <t>Net Salary</t>
  </si>
  <si>
    <t xml:space="preserve">Tax Deduction </t>
  </si>
  <si>
    <t>Insurance Deduction</t>
  </si>
  <si>
    <t>Hourly Rate</t>
  </si>
  <si>
    <t>Incremented Salary</t>
  </si>
  <si>
    <t>Daily Rate</t>
  </si>
  <si>
    <r>
      <rPr>
        <sz val="11"/>
        <color rgb="FF00B050"/>
        <rFont val="Calibri"/>
        <family val="2"/>
        <scheme val="minor"/>
      </rPr>
      <t>Basic Salary</t>
    </r>
    <r>
      <rPr>
        <sz val="11"/>
        <color theme="1"/>
        <rFont val="Calibri"/>
        <family val="2"/>
        <scheme val="minor"/>
      </rPr>
      <t>+</t>
    </r>
    <r>
      <rPr>
        <sz val="11"/>
        <color rgb="FFFFC000"/>
        <rFont val="Calibri"/>
        <family val="2"/>
        <scheme val="minor"/>
      </rPr>
      <t>HRA</t>
    </r>
    <r>
      <rPr>
        <sz val="11"/>
        <color theme="1"/>
        <rFont val="Calibri"/>
        <family val="2"/>
        <scheme val="minor"/>
      </rPr>
      <t>+</t>
    </r>
    <r>
      <rPr>
        <sz val="11"/>
        <color rgb="FF00B0F0"/>
        <rFont val="Calibri"/>
        <family val="2"/>
        <scheme val="minor"/>
      </rPr>
      <t>Bonus</t>
    </r>
  </si>
  <si>
    <r>
      <rPr>
        <sz val="11"/>
        <color rgb="FF00B050"/>
        <rFont val="Calibri"/>
        <family val="2"/>
        <scheme val="minor"/>
      </rPr>
      <t>Basic Salary</t>
    </r>
    <r>
      <rPr>
        <sz val="11"/>
        <color theme="1"/>
        <rFont val="Calibri"/>
        <family val="2"/>
        <scheme val="minor"/>
      </rPr>
      <t xml:space="preserve"> * 10%</t>
    </r>
  </si>
  <si>
    <r>
      <rPr>
        <sz val="11"/>
        <color rgb="FF00B050"/>
        <rFont val="Calibri"/>
        <family val="2"/>
        <scheme val="minor"/>
      </rPr>
      <t>Basic Salary</t>
    </r>
    <r>
      <rPr>
        <sz val="11"/>
        <color theme="1"/>
        <rFont val="Calibri"/>
        <family val="2"/>
        <scheme val="minor"/>
      </rPr>
      <t xml:space="preserve"> * 5%</t>
    </r>
  </si>
  <si>
    <r>
      <rPr>
        <sz val="11"/>
        <color rgb="FF00B050"/>
        <rFont val="Calibri"/>
        <family val="2"/>
        <scheme val="minor"/>
      </rPr>
      <t>Basic Salary</t>
    </r>
    <r>
      <rPr>
        <sz val="11"/>
        <color theme="1"/>
        <rFont val="Calibri"/>
        <family val="2"/>
        <scheme val="minor"/>
      </rPr>
      <t xml:space="preserve"> * 1.05</t>
    </r>
  </si>
  <si>
    <r>
      <rPr>
        <sz val="11"/>
        <color rgb="FF00B050"/>
        <rFont val="Calibri"/>
        <family val="2"/>
        <scheme val="minor"/>
      </rPr>
      <t>Basic Salary</t>
    </r>
    <r>
      <rPr>
        <sz val="11"/>
        <color theme="1"/>
        <rFont val="Calibri"/>
        <family val="2"/>
        <scheme val="minor"/>
      </rPr>
      <t xml:space="preserve"> % (40*4)</t>
    </r>
  </si>
  <si>
    <r>
      <rPr>
        <sz val="11"/>
        <color rgb="FF00B050"/>
        <rFont val="Calibri"/>
        <family val="2"/>
        <scheme val="minor"/>
      </rPr>
      <t>Basic Salary</t>
    </r>
    <r>
      <rPr>
        <sz val="11"/>
        <color theme="1"/>
        <rFont val="Calibri"/>
        <family val="2"/>
        <scheme val="minor"/>
      </rPr>
      <t xml:space="preserve"> / 30</t>
    </r>
  </si>
  <si>
    <r>
      <rPr>
        <sz val="11"/>
        <color theme="2" tint="-0.499984740745262"/>
        <rFont val="Calibri"/>
        <family val="2"/>
        <scheme val="minor"/>
      </rPr>
      <t>Gross Salary</t>
    </r>
    <r>
      <rPr>
        <sz val="11"/>
        <color theme="1"/>
        <rFont val="Calibri"/>
        <family val="2"/>
        <scheme val="minor"/>
      </rPr>
      <t>-</t>
    </r>
    <r>
      <rPr>
        <sz val="11"/>
        <color rgb="FFFF0000"/>
        <rFont val="Calibri"/>
        <family val="2"/>
        <scheme val="minor"/>
      </rPr>
      <t>Deduction</t>
    </r>
  </si>
  <si>
    <t>Qno 1. Find the total salary paid to all employees (Net Salary).</t>
  </si>
  <si>
    <t>Qno 2. Count how many employees are in the IT department.</t>
  </si>
  <si>
    <t>Qno 3. Find the average Basic Salary.</t>
  </si>
  <si>
    <t>Qno 4. Find the highest Net Salary.</t>
  </si>
  <si>
    <t>Qno 5. Find the lowest Net Salary.</t>
  </si>
  <si>
    <t>Calculate total PF collected from all employees.</t>
  </si>
  <si>
    <t>Show “High Paid” if Net Salary &gt; 50000 else “Normal” of Priya Patel</t>
  </si>
  <si>
    <t>Count number of Managers.</t>
  </si>
  <si>
    <t>Find Employee Name from Employee ID</t>
  </si>
  <si>
    <t>Find Bonus Using Emp Name</t>
  </si>
  <si>
    <t>Get Bonus of 5th employee</t>
  </si>
  <si>
    <t>Find row of EMP015</t>
  </si>
  <si>
    <t>Index &amp; Match</t>
  </si>
  <si>
    <t>Anjali Singh</t>
  </si>
  <si>
    <t>Anjali Lal</t>
  </si>
  <si>
    <t xml:space="preserve">QN 1. Sort the entire data according to employee names in ascending order </t>
  </si>
  <si>
    <t>Row Labels</t>
  </si>
  <si>
    <t>Grand Total</t>
  </si>
  <si>
    <t>Sum of PF</t>
  </si>
  <si>
    <t>Sum of Basic_Salary</t>
  </si>
  <si>
    <t>Sum of Deductions</t>
  </si>
  <si>
    <t>Sum of Allowances</t>
  </si>
  <si>
    <t>Sum of HRA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</si>
</sst>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b/>
      <sz val="11"/>
      <color theme="0"/>
      <name val="Arial Black"/>
      <family val="2"/>
    </font>
    <font>
      <sz val="11"/>
      <color theme="0" tint="-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92D050"/>
      <name val="Arial Black"/>
      <family val="2"/>
    </font>
    <font>
      <sz val="11"/>
      <color rgb="FFFFC000"/>
      <name val="Calibri"/>
      <family val="2"/>
      <scheme val="minor"/>
    </font>
    <font>
      <b/>
      <sz val="11"/>
      <color rgb="FFFFC000"/>
      <name val="Arial Black"/>
      <family val="2"/>
    </font>
    <font>
      <sz val="11"/>
      <color rgb="FF00B0F0"/>
      <name val="Calibri"/>
      <family val="2"/>
      <scheme val="minor"/>
    </font>
    <font>
      <b/>
      <sz val="11"/>
      <color rgb="FF00B0F0"/>
      <name val="Arial Black"/>
      <family val="2"/>
    </font>
    <font>
      <b/>
      <sz val="11"/>
      <color rgb="FFFF0000"/>
      <name val="Arial Black"/>
      <family val="2"/>
    </font>
    <font>
      <sz val="11"/>
      <color theme="2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6" tint="0.3999755851924192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6B78B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4" fillId="9" borderId="2" xfId="0" applyFont="1" applyFill="1" applyBorder="1"/>
    <xf numFmtId="0" fontId="4" fillId="10" borderId="2" xfId="0" applyFont="1" applyFill="1" applyBorder="1"/>
    <xf numFmtId="0" fontId="2" fillId="5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6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0" fillId="0" borderId="0" xfId="0" applyBorder="1"/>
    <xf numFmtId="0" fontId="3" fillId="0" borderId="0" xfId="0" applyFont="1" applyFill="1" applyBorder="1"/>
    <xf numFmtId="0" fontId="4" fillId="5" borderId="3" xfId="0" applyFont="1" applyFill="1" applyBorder="1"/>
    <xf numFmtId="0" fontId="0" fillId="0" borderId="4" xfId="0" applyBorder="1"/>
    <xf numFmtId="0" fontId="0" fillId="0" borderId="5" xfId="0" applyBorder="1"/>
    <xf numFmtId="0" fontId="4" fillId="3" borderId="6" xfId="0" applyFont="1" applyFill="1" applyBorder="1"/>
    <xf numFmtId="0" fontId="0" fillId="0" borderId="7" xfId="0" applyBorder="1"/>
    <xf numFmtId="0" fontId="5" fillId="3" borderId="8" xfId="0" applyFont="1" applyFill="1" applyBorder="1"/>
    <xf numFmtId="0" fontId="5" fillId="3" borderId="9" xfId="0" applyFont="1" applyFill="1" applyBorder="1"/>
    <xf numFmtId="0" fontId="2" fillId="4" borderId="1" xfId="0" applyFont="1" applyFill="1" applyBorder="1"/>
    <xf numFmtId="0" fontId="2" fillId="4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7" fillId="2" borderId="11" xfId="0" applyFont="1" applyFill="1" applyBorder="1"/>
    <xf numFmtId="0" fontId="9" fillId="2" borderId="11" xfId="0" applyFont="1" applyFill="1" applyBorder="1"/>
    <xf numFmtId="0" fontId="12" fillId="2" borderId="11" xfId="0" applyFont="1" applyFill="1" applyBorder="1"/>
    <xf numFmtId="0" fontId="11" fillId="2" borderId="12" xfId="0" applyFont="1" applyFill="1" applyBorder="1"/>
    <xf numFmtId="0" fontId="2" fillId="5" borderId="9" xfId="0" applyFont="1" applyFill="1" applyBorder="1"/>
    <xf numFmtId="0" fontId="2" fillId="7" borderId="9" xfId="0" applyFont="1" applyFill="1" applyBorder="1"/>
    <xf numFmtId="0" fontId="2" fillId="8" borderId="9" xfId="0" applyFont="1" applyFill="1" applyBorder="1"/>
    <xf numFmtId="0" fontId="2" fillId="6" borderId="9" xfId="0" applyFont="1" applyFill="1" applyBorder="1"/>
    <xf numFmtId="0" fontId="2" fillId="9" borderId="9" xfId="0" applyFont="1" applyFill="1" applyBorder="1"/>
    <xf numFmtId="0" fontId="2" fillId="10" borderId="9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4" fillId="2" borderId="16" xfId="0" applyFont="1" applyFill="1" applyBorder="1"/>
    <xf numFmtId="0" fontId="15" fillId="14" borderId="1" xfId="0" applyFont="1" applyFill="1" applyBorder="1"/>
    <xf numFmtId="0" fontId="2" fillId="2" borderId="1" xfId="0" applyFont="1" applyFill="1" applyBorder="1"/>
    <xf numFmtId="0" fontId="16" fillId="16" borderId="1" xfId="0" applyFont="1" applyFill="1" applyBorder="1"/>
    <xf numFmtId="0" fontId="0" fillId="5" borderId="1" xfId="0" applyFont="1" applyFill="1" applyBorder="1"/>
    <xf numFmtId="0" fontId="0" fillId="0" borderId="0" xfId="0" applyBorder="1" applyAlignment="1"/>
    <xf numFmtId="0" fontId="2" fillId="0" borderId="0" xfId="0" applyFont="1" applyFill="1" applyBorder="1"/>
    <xf numFmtId="0" fontId="0" fillId="0" borderId="0" xfId="0" applyAlignment="1"/>
    <xf numFmtId="0" fontId="16" fillId="0" borderId="0" xfId="0" applyFont="1" applyFill="1" applyBorder="1"/>
    <xf numFmtId="0" fontId="0" fillId="17" borderId="0" xfId="0" applyFont="1" applyFill="1" applyBorder="1"/>
    <xf numFmtId="0" fontId="0" fillId="14" borderId="0" xfId="0" applyFill="1"/>
    <xf numFmtId="0" fontId="14" fillId="12" borderId="1" xfId="0" applyFont="1" applyFill="1" applyBorder="1"/>
    <xf numFmtId="0" fontId="14" fillId="18" borderId="1" xfId="0" applyFont="1" applyFill="1" applyBorder="1"/>
    <xf numFmtId="0" fontId="0" fillId="0" borderId="0" xfId="0" applyBorder="1" applyAlignment="1">
      <alignment horizontal="center"/>
    </xf>
    <xf numFmtId="0" fontId="0" fillId="25" borderId="0" xfId="0" applyFill="1" applyBorder="1" applyAlignment="1">
      <alignment horizontal="center"/>
    </xf>
    <xf numFmtId="0" fontId="0" fillId="26" borderId="0" xfId="0" applyFill="1" applyBorder="1" applyAlignment="1">
      <alignment horizontal="center"/>
    </xf>
    <xf numFmtId="0" fontId="0" fillId="27" borderId="0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5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24" borderId="0" xfId="0" applyFill="1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0" fontId="0" fillId="20" borderId="0" xfId="0" applyFill="1" applyBorder="1" applyAlignment="1">
      <alignment horizontal="center"/>
    </xf>
    <xf numFmtId="0" fontId="0" fillId="18" borderId="0" xfId="0" applyFill="1" applyBorder="1" applyAlignment="1">
      <alignment horizontal="center"/>
    </xf>
    <xf numFmtId="0" fontId="0" fillId="21" borderId="0" xfId="0" applyFill="1" applyBorder="1" applyAlignment="1">
      <alignment horizontal="center"/>
    </xf>
    <xf numFmtId="0" fontId="0" fillId="22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2" fillId="28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6B78B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[mini_project_excel_employee_salary_management_SonitPal.xlsx]pivot chart &amp; table!PivotTable1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1.4615691741774173E-3"/>
          <c:y val="0.16346402761298673"/>
          <c:w val="0.74945975503062112"/>
          <c:h val="0.75474518810148727"/>
        </c:manualLayout>
      </c:layout>
      <c:ofPieChart>
        <c:ofPieType val="pie"/>
        <c:varyColors val="1"/>
        <c:ser>
          <c:idx val="0"/>
          <c:order val="0"/>
          <c:tx>
            <c:strRef>
              <c:f>'pivot chart &amp; table'!$B$3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chart &amp; table'!$A$4:$A$10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chart &amp; table'!$B$4:$B$10</c:f>
              <c:numCache>
                <c:formatCode>General</c:formatCode>
                <c:ptCount val="6"/>
                <c:pt idx="0">
                  <c:v>159317</c:v>
                </c:pt>
                <c:pt idx="1">
                  <c:v>144262</c:v>
                </c:pt>
                <c:pt idx="2">
                  <c:v>173599</c:v>
                </c:pt>
                <c:pt idx="3">
                  <c:v>171605</c:v>
                </c:pt>
                <c:pt idx="4">
                  <c:v>146369</c:v>
                </c:pt>
                <c:pt idx="5">
                  <c:v>133731</c:v>
                </c:pt>
              </c:numCache>
            </c:numRef>
          </c:val>
        </c:ser>
        <c:gapWidth val="100"/>
        <c:secondPieSize val="75"/>
        <c:serLines/>
      </c:ofPieChart>
    </c:plotArea>
    <c:legend>
      <c:legendPos val="r"/>
      <c:layout>
        <c:manualLayout>
          <c:xMode val="edge"/>
          <c:yMode val="edge"/>
          <c:x val="0.28431218541572573"/>
          <c:y val="0.73538093697191964"/>
          <c:w val="0.71153153860754936"/>
          <c:h val="0.25968881458310861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7"/>
  <c:pivotSource>
    <c:name>[mini_project_excel_employee_salary_management_SonitPal.xlsx]pivot chart &amp; table!PivotTable2</c:name>
    <c:fmtId val="0"/>
  </c:pivotSource>
  <c:chart>
    <c:title>
      <c:layout/>
    </c:title>
    <c:pivotFmts>
      <c:pivotFmt>
        <c:idx val="0"/>
      </c:pivotFmt>
    </c:pivotFmts>
    <c:view3D>
      <c:perspective val="30"/>
    </c:view3D>
    <c:plotArea>
      <c:layout/>
      <c:line3DChart>
        <c:grouping val="standard"/>
        <c:ser>
          <c:idx val="0"/>
          <c:order val="0"/>
          <c:tx>
            <c:strRef>
              <c:f>'pivot chart &amp; table'!$J$3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chart &amp; table'!$I$4:$I$10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chart &amp; table'!$J$4:$J$10</c:f>
              <c:numCache>
                <c:formatCode>General</c:formatCode>
                <c:ptCount val="6"/>
                <c:pt idx="0">
                  <c:v>1327755</c:v>
                </c:pt>
                <c:pt idx="1">
                  <c:v>1202287</c:v>
                </c:pt>
                <c:pt idx="2">
                  <c:v>1446797</c:v>
                </c:pt>
                <c:pt idx="3">
                  <c:v>1430165</c:v>
                </c:pt>
                <c:pt idx="4">
                  <c:v>1219920</c:v>
                </c:pt>
                <c:pt idx="5">
                  <c:v>1114523</c:v>
                </c:pt>
              </c:numCache>
            </c:numRef>
          </c:val>
        </c:ser>
        <c:axId val="96027776"/>
        <c:axId val="96029696"/>
        <c:axId val="133971456"/>
      </c:line3DChart>
      <c:catAx>
        <c:axId val="96027776"/>
        <c:scaling>
          <c:orientation val="minMax"/>
        </c:scaling>
        <c:axPos val="b"/>
        <c:tickLblPos val="nextTo"/>
        <c:crossAx val="96029696"/>
        <c:crosses val="autoZero"/>
        <c:auto val="1"/>
        <c:lblAlgn val="ctr"/>
        <c:lblOffset val="100"/>
      </c:catAx>
      <c:valAx>
        <c:axId val="96029696"/>
        <c:scaling>
          <c:orientation val="minMax"/>
        </c:scaling>
        <c:axPos val="l"/>
        <c:majorGridlines/>
        <c:numFmt formatCode="General" sourceLinked="1"/>
        <c:tickLblPos val="nextTo"/>
        <c:crossAx val="96027776"/>
        <c:crosses val="autoZero"/>
        <c:crossBetween val="between"/>
      </c:valAx>
      <c:serAx>
        <c:axId val="133971456"/>
        <c:scaling>
          <c:orientation val="minMax"/>
        </c:scaling>
        <c:axPos val="b"/>
        <c:tickLblPos val="nextTo"/>
        <c:crossAx val="96029696"/>
        <c:crosses val="autoZero"/>
      </c:ser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[mini_project_excel_employee_salary_management_SonitPal.xlsx]pivot chart &amp; table!PivotTable3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'pivot chart &amp; table'!$P$3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chart &amp; table'!$O$4:$O$10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chart &amp; table'!$P$4:$P$10</c:f>
              <c:numCache>
                <c:formatCode>General</c:formatCode>
                <c:ptCount val="6"/>
                <c:pt idx="0">
                  <c:v>56057</c:v>
                </c:pt>
                <c:pt idx="1">
                  <c:v>50399</c:v>
                </c:pt>
                <c:pt idx="2">
                  <c:v>67986</c:v>
                </c:pt>
                <c:pt idx="3">
                  <c:v>64918</c:v>
                </c:pt>
                <c:pt idx="4">
                  <c:v>54512</c:v>
                </c:pt>
                <c:pt idx="5">
                  <c:v>43602</c:v>
                </c:pt>
              </c:numCache>
            </c:numRef>
          </c:val>
        </c:ser>
        <c:shape val="pyramid"/>
        <c:axId val="96785536"/>
        <c:axId val="96789248"/>
        <c:axId val="0"/>
      </c:bar3DChart>
      <c:catAx>
        <c:axId val="96785536"/>
        <c:scaling>
          <c:orientation val="minMax"/>
        </c:scaling>
        <c:axPos val="l"/>
        <c:tickLblPos val="nextTo"/>
        <c:crossAx val="96789248"/>
        <c:crosses val="autoZero"/>
        <c:auto val="1"/>
        <c:lblAlgn val="ctr"/>
        <c:lblOffset val="100"/>
      </c:catAx>
      <c:valAx>
        <c:axId val="96789248"/>
        <c:scaling>
          <c:orientation val="minMax"/>
        </c:scaling>
        <c:axPos val="b"/>
        <c:majorGridlines/>
        <c:numFmt formatCode="General" sourceLinked="1"/>
        <c:tickLblPos val="nextTo"/>
        <c:crossAx val="967855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[mini_project_excel_employee_salary_management_SonitPal.xlsx]pivot chart &amp; table!PivotTable4</c:name>
    <c:fmtId val="0"/>
  </c:pivotSource>
  <c:chart>
    <c:title>
      <c:layout/>
    </c:title>
    <c:pivotFmts>
      <c:pivotFmt>
        <c:idx val="0"/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chart &amp; table'!$C$29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chart &amp; table'!$B$30:$B$36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chart &amp; table'!$C$30:$C$36</c:f>
              <c:numCache>
                <c:formatCode>General</c:formatCode>
                <c:ptCount val="6"/>
                <c:pt idx="0">
                  <c:v>94650</c:v>
                </c:pt>
                <c:pt idx="1">
                  <c:v>101248</c:v>
                </c:pt>
                <c:pt idx="2">
                  <c:v>105566</c:v>
                </c:pt>
                <c:pt idx="3">
                  <c:v>114195</c:v>
                </c:pt>
                <c:pt idx="4">
                  <c:v>119992</c:v>
                </c:pt>
                <c:pt idx="5">
                  <c:v>82303</c:v>
                </c:pt>
              </c:numCache>
            </c:numRef>
          </c:val>
        </c:ser>
        <c:axId val="97092736"/>
        <c:axId val="97095040"/>
      </c:barChart>
      <c:catAx>
        <c:axId val="97092736"/>
        <c:scaling>
          <c:orientation val="minMax"/>
        </c:scaling>
        <c:axPos val="l"/>
        <c:tickLblPos val="nextTo"/>
        <c:crossAx val="97095040"/>
        <c:crosses val="autoZero"/>
        <c:auto val="1"/>
        <c:lblAlgn val="ctr"/>
        <c:lblOffset val="100"/>
      </c:catAx>
      <c:valAx>
        <c:axId val="97095040"/>
        <c:scaling>
          <c:orientation val="minMax"/>
        </c:scaling>
        <c:axPos val="b"/>
        <c:majorGridlines/>
        <c:numFmt formatCode="General" sourceLinked="1"/>
        <c:tickLblPos val="nextTo"/>
        <c:crossAx val="970927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7"/>
  <c:pivotSource>
    <c:name>[mini_project_excel_employee_salary_management_SonitPal.xlsx]pivot chart &amp; table!PivotTable5</c:name>
    <c:fmtId val="0"/>
  </c:pivotSource>
  <c:chart>
    <c:title>
      <c:layout/>
    </c:title>
    <c:pivotFmts>
      <c:pivotFmt>
        <c:idx val="0"/>
      </c:pivotFmt>
    </c:pivotFmts>
    <c:plotArea>
      <c:layout/>
      <c:radarChart>
        <c:radarStyle val="marker"/>
        <c:ser>
          <c:idx val="0"/>
          <c:order val="0"/>
          <c:tx>
            <c:strRef>
              <c:f>'pivot chart &amp; table'!$J$28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chart &amp; table'!$I$29:$I$35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chart &amp; table'!$J$29:$J$35</c:f>
              <c:numCache>
                <c:formatCode>General</c:formatCode>
                <c:ptCount val="6"/>
                <c:pt idx="0">
                  <c:v>265537</c:v>
                </c:pt>
                <c:pt idx="1">
                  <c:v>240445</c:v>
                </c:pt>
                <c:pt idx="2">
                  <c:v>289345</c:v>
                </c:pt>
                <c:pt idx="3">
                  <c:v>286017</c:v>
                </c:pt>
                <c:pt idx="4">
                  <c:v>243969</c:v>
                </c:pt>
                <c:pt idx="5">
                  <c:v>222894</c:v>
                </c:pt>
              </c:numCache>
            </c:numRef>
          </c:val>
        </c:ser>
        <c:axId val="97216768"/>
        <c:axId val="99496704"/>
      </c:radarChart>
      <c:catAx>
        <c:axId val="97216768"/>
        <c:scaling>
          <c:orientation val="minMax"/>
        </c:scaling>
        <c:axPos val="b"/>
        <c:majorGridlines/>
        <c:tickLblPos val="nextTo"/>
        <c:crossAx val="99496704"/>
        <c:crosses val="autoZero"/>
        <c:auto val="1"/>
        <c:lblAlgn val="ctr"/>
        <c:lblOffset val="100"/>
      </c:catAx>
      <c:valAx>
        <c:axId val="99496704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972167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10</xdr:row>
      <xdr:rowOff>53340</xdr:rowOff>
    </xdr:from>
    <xdr:to>
      <xdr:col>4</xdr:col>
      <xdr:colOff>358140</xdr:colOff>
      <xdr:row>22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10</xdr:row>
      <xdr:rowOff>167640</xdr:rowOff>
    </xdr:from>
    <xdr:to>
      <xdr:col>12</xdr:col>
      <xdr:colOff>15240</xdr:colOff>
      <xdr:row>23</xdr:row>
      <xdr:rowOff>45720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601980</xdr:colOff>
      <xdr:row>11</xdr:row>
      <xdr:rowOff>76200</xdr:rowOff>
    </xdr:from>
    <xdr:to>
      <xdr:col>17</xdr:col>
      <xdr:colOff>594360</xdr:colOff>
      <xdr:row>23</xdr:row>
      <xdr:rowOff>53340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</xdr:colOff>
      <xdr:row>38</xdr:row>
      <xdr:rowOff>7620</xdr:rowOff>
    </xdr:from>
    <xdr:to>
      <xdr:col>5</xdr:col>
      <xdr:colOff>99060</xdr:colOff>
      <xdr:row>52</xdr:row>
      <xdr:rowOff>30480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36</xdr:row>
      <xdr:rowOff>76200</xdr:rowOff>
    </xdr:from>
    <xdr:to>
      <xdr:col>12</xdr:col>
      <xdr:colOff>281940</xdr:colOff>
      <xdr:row>49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60.930581944442" createdVersion="3" refreshedVersion="3" minRefreshableVersion="3" recordCount="200">
  <cacheSource type="worksheet">
    <worksheetSource ref="A1:J201" sheet="LOOKups"/>
  </cacheSource>
  <cacheFields count="10">
    <cacheField name="Employee_ID" numFmtId="0">
      <sharedItems count="200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  <s v="EMP031"/>
        <s v="EMP032"/>
        <s v="EMP033"/>
        <s v="EMP034"/>
        <s v="EMP035"/>
        <s v="EMP036"/>
        <s v="EMP037"/>
        <s v="EMP038"/>
        <s v="EMP039"/>
        <s v="EMP040"/>
        <s v="EMP041"/>
        <s v="EMP042"/>
        <s v="EMP043"/>
        <s v="EMP044"/>
        <s v="EMP045"/>
        <s v="EMP046"/>
        <s v="EMP047"/>
        <s v="EMP048"/>
        <s v="EMP049"/>
        <s v="EMP050"/>
        <s v="EMP051"/>
        <s v="EMP052"/>
        <s v="EMP053"/>
        <s v="EMP054"/>
        <s v="EMP055"/>
        <s v="EMP056"/>
        <s v="EMP057"/>
        <s v="EMP058"/>
        <s v="EMP059"/>
        <s v="EMP060"/>
        <s v="EMP061"/>
        <s v="EMP062"/>
        <s v="EMP063"/>
        <s v="EMP064"/>
        <s v="EMP065"/>
        <s v="EMP066"/>
        <s v="EMP067"/>
        <s v="EMP068"/>
        <s v="EMP069"/>
        <s v="EMP070"/>
        <s v="EMP071"/>
        <s v="EMP072"/>
        <s v="EMP073"/>
        <s v="EMP074"/>
        <s v="EMP075"/>
        <s v="EMP076"/>
        <s v="EMP077"/>
        <s v="EMP078"/>
        <s v="EMP079"/>
        <s v="EMP080"/>
        <s v="EMP081"/>
        <s v="EMP082"/>
        <s v="EMP083"/>
        <s v="EMP084"/>
        <s v="EMP085"/>
        <s v="EMP086"/>
        <s v="EMP087"/>
        <s v="EMP088"/>
        <s v="EMP089"/>
        <s v="EMP090"/>
        <s v="EMP091"/>
        <s v="EMP092"/>
        <s v="EMP093"/>
        <s v="EMP094"/>
        <s v="EMP095"/>
        <s v="EMP096"/>
        <s v="EMP097"/>
        <s v="EMP098"/>
        <s v="EMP099"/>
        <s v="EMP100"/>
        <s v="EMP101"/>
        <s v="EMP102"/>
        <s v="EMP103"/>
        <s v="EMP104"/>
        <s v="EMP105"/>
        <s v="EMP106"/>
        <s v="EMP107"/>
        <s v="EMP108"/>
        <s v="EMP109"/>
        <s v="EMP110"/>
        <s v="EMP111"/>
        <s v="EMP112"/>
        <s v="EMP113"/>
        <s v="EMP114"/>
        <s v="EMP115"/>
        <s v="EMP116"/>
        <s v="EMP117"/>
        <s v="EMP118"/>
        <s v="EMP119"/>
        <s v="EMP120"/>
        <s v="EMP121"/>
        <s v="EMP122"/>
        <s v="EMP123"/>
        <s v="EMP124"/>
        <s v="EMP125"/>
        <s v="EMP126"/>
        <s v="EMP127"/>
        <s v="EMP128"/>
        <s v="EMP129"/>
        <s v="EMP130"/>
        <s v="EMP131"/>
        <s v="EMP132"/>
        <s v="EMP133"/>
        <s v="EMP134"/>
        <s v="EMP135"/>
        <s v="EMP136"/>
        <s v="EMP137"/>
        <s v="EMP138"/>
        <s v="EMP139"/>
        <s v="EMP140"/>
        <s v="EMP141"/>
        <s v="EMP142"/>
        <s v="EMP143"/>
        <s v="EMP144"/>
        <s v="EMP145"/>
        <s v="EMP146"/>
        <s v="EMP147"/>
        <s v="EMP148"/>
        <s v="EMP149"/>
        <s v="EMP150"/>
        <s v="EMP151"/>
        <s v="EMP152"/>
        <s v="EMP153"/>
        <s v="EMP154"/>
        <s v="EMP155"/>
        <s v="EMP156"/>
        <s v="EMP157"/>
        <s v="EMP158"/>
        <s v="EMP159"/>
        <s v="EMP160"/>
        <s v="EMP161"/>
        <s v="EMP162"/>
        <s v="EMP163"/>
        <s v="EMP164"/>
        <s v="EMP165"/>
        <s v="EMP166"/>
        <s v="EMP167"/>
        <s v="EMP168"/>
        <s v="EMP169"/>
        <s v="EMP170"/>
        <s v="EMP171"/>
        <s v="EMP172"/>
        <s v="EMP173"/>
        <s v="EMP174"/>
        <s v="EMP175"/>
        <s v="EMP176"/>
        <s v="EMP177"/>
        <s v="EMP178"/>
        <s v="EMP179"/>
        <s v="EMP180"/>
        <s v="EMP181"/>
        <s v="EMP182"/>
        <s v="EMP183"/>
        <s v="EMP184"/>
        <s v="EMP185"/>
        <s v="EMP186"/>
        <s v="EMP187"/>
        <s v="EMP188"/>
        <s v="EMP189"/>
        <s v="EMP190"/>
        <s v="EMP191"/>
        <s v="EMP192"/>
        <s v="EMP193"/>
        <s v="EMP194"/>
        <s v="EMP195"/>
        <s v="EMP196"/>
        <s v="EMP197"/>
        <s v="EMP198"/>
        <s v="EMP199"/>
        <s v="EMP200"/>
      </sharedItems>
    </cacheField>
    <cacheField name="Employee_Name" numFmtId="0">
      <sharedItems count="87">
        <s v="Priya Patel"/>
        <s v="Rohit Kumar"/>
        <s v="Amit Roy"/>
        <s v="Vikash Mishra"/>
        <s v="Arjun Das"/>
        <s v="Amit Sharma"/>
        <s v="Amit Das"/>
        <s v="Rahul Roy"/>
        <s v="Vikash Verma"/>
        <s v="Priya Gupta"/>
        <s v="Arjun Gupta"/>
        <s v="Anjali Patel"/>
        <s v="Neha Pal"/>
        <s v="Neha Das"/>
        <s v="Amit Gupta"/>
        <s v="Rahul Singh"/>
        <s v="Amit Kumar"/>
        <s v="Vikash Sharma"/>
        <s v="Pooja Mishra"/>
        <s v="Priya Verma"/>
        <s v="Priya Kumar"/>
        <s v="Pooja Pal"/>
        <s v="Arjun Roy"/>
        <s v="Anjali Gupta"/>
        <s v="Neha Singh"/>
        <s v="Anjali Roy"/>
        <s v="Arjun Sharma"/>
        <s v="Priya Roy"/>
        <s v="Pooja Gupta"/>
        <s v="Rohit Sharma"/>
        <s v="Vikash Pal"/>
        <s v="Pooja Sharma"/>
        <s v="Rohit Roy"/>
        <s v="Amit Singh"/>
        <s v="Vikash Singh"/>
        <s v="Rahul Kumar"/>
        <s v="Priya Singh"/>
        <s v="Suman Patel"/>
        <s v="Neha Roy"/>
        <s v="Arjun Mishra"/>
        <s v="Pooja Roy"/>
        <s v="Neha Gupta"/>
        <s v="Rahul Pal"/>
        <s v="Rohit Pal"/>
        <s v="Suman Pal"/>
        <s v="Rohit Das"/>
        <s v="Rohit Patel"/>
        <s v="Neha Sharma"/>
        <s v="Rahul Gupta"/>
        <s v="Vikash Das"/>
        <s v="Priya Pal"/>
        <s v="Rahul Verma"/>
        <s v="Anjali Kumar"/>
        <s v="Suman Roy"/>
        <s v="Suman Sharma"/>
        <s v="Suman Singh"/>
        <s v="Arjun Kumar"/>
        <s v="Pooja Kumar"/>
        <s v="Rahul Sharma"/>
        <s v="Suman Kumar"/>
        <s v="Anjali Verma"/>
        <s v="Rahul Patel"/>
        <s v="Arjun Pal"/>
        <s v="Anjali Pal"/>
        <s v="Suman Mishra"/>
        <s v="Neha Kumar"/>
        <s v="Rohit Singh"/>
        <s v="Priya Mishra"/>
        <s v="Rohit Mishra"/>
        <s v="Arjun Patel"/>
        <s v="Neha Patel"/>
        <s v="Neha Verma"/>
        <s v="Rohit Gupta"/>
        <s v="Suman Das"/>
        <s v="Pooja Verma"/>
        <s v="Pooja Patel"/>
        <s v="Pooja Das"/>
        <s v="Pooja Singh"/>
        <s v="Anjali Das"/>
        <s v="Neha Mishra"/>
        <s v="Priya Sharma"/>
        <s v="Priya Das"/>
        <s v="Rahul Das"/>
        <s v="Anjali Sharma"/>
        <s v="Vikash Kumar"/>
        <s v="Amit Mishra"/>
        <s v="Rohit Verma"/>
      </sharedItems>
    </cacheField>
    <cacheField name="Department" numFmtId="0">
      <sharedItems count="6">
        <s v="Operations"/>
        <s v="HR"/>
        <s v="Marketing"/>
        <s v="Sales"/>
        <s v="IT"/>
        <s v="Finance"/>
      </sharedItems>
    </cacheField>
    <cacheField name="Designation" numFmtId="0">
      <sharedItems count="5">
        <s v="Intern"/>
        <s v="Senior Executive"/>
        <s v="Executive"/>
        <s v="Team Lead"/>
        <s v="Manager"/>
      </sharedItems>
    </cacheField>
    <cacheField name="Basic_Salary" numFmtId="0">
      <sharedItems containsSemiMixedTypes="0" containsString="0" containsNumber="1" containsInteger="1" minValue="15286" maxValue="59566"/>
    </cacheField>
    <cacheField name="HRA" numFmtId="0">
      <sharedItems containsSemiMixedTypes="0" containsString="0" containsNumber="1" containsInteger="1" minValue="3057" maxValue="11913"/>
    </cacheField>
    <cacheField name="Allowances" numFmtId="0">
      <sharedItems containsSemiMixedTypes="0" containsString="0" containsNumber="1" containsInteger="1" minValue="1009" maxValue="4997"/>
    </cacheField>
    <cacheField name="PF" numFmtId="0">
      <sharedItems containsSemiMixedTypes="0" containsString="0" containsNumber="1" containsInteger="1" minValue="1834" maxValue="7147"/>
    </cacheField>
    <cacheField name="Deductions" numFmtId="0">
      <sharedItems containsSemiMixedTypes="0" containsString="0" containsNumber="1" containsInteger="1" minValue="507" maxValue="2981"/>
    </cacheField>
    <cacheField name="Bonus" numFmtId="0">
      <sharedItems containsSemiMixedTypes="0" containsString="0" containsNumber="1" containsInteger="1" minValue="15861" maxValue="6564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n v="26626"/>
    <n v="5325"/>
    <n v="2857"/>
    <n v="3195"/>
    <n v="589"/>
    <n v="31024"/>
  </r>
  <r>
    <x v="1"/>
    <x v="1"/>
    <x v="1"/>
    <x v="1"/>
    <n v="45503"/>
    <n v="9100"/>
    <n v="1843"/>
    <n v="5460"/>
    <n v="1552"/>
    <n v="49434"/>
  </r>
  <r>
    <x v="2"/>
    <x v="2"/>
    <x v="0"/>
    <x v="1"/>
    <n v="53938"/>
    <n v="10787"/>
    <n v="4851"/>
    <n v="6472"/>
    <n v="2058"/>
    <n v="61046"/>
  </r>
  <r>
    <x v="3"/>
    <x v="3"/>
    <x v="2"/>
    <x v="2"/>
    <n v="55165"/>
    <n v="11033"/>
    <n v="4218"/>
    <n v="6619"/>
    <n v="2129"/>
    <n v="61668"/>
  </r>
  <r>
    <x v="4"/>
    <x v="4"/>
    <x v="3"/>
    <x v="0"/>
    <n v="42292"/>
    <n v="8458"/>
    <n v="3707"/>
    <n v="5075"/>
    <n v="1107"/>
    <n v="48275"/>
  </r>
  <r>
    <x v="5"/>
    <x v="5"/>
    <x v="2"/>
    <x v="3"/>
    <n v="15728"/>
    <n v="3145"/>
    <n v="2392"/>
    <n v="1887"/>
    <n v="1556"/>
    <n v="17822"/>
  </r>
  <r>
    <x v="6"/>
    <x v="6"/>
    <x v="1"/>
    <x v="3"/>
    <n v="24044"/>
    <n v="4808"/>
    <n v="2353"/>
    <n v="2885"/>
    <n v="1826"/>
    <n v="26494"/>
  </r>
  <r>
    <x v="7"/>
    <x v="7"/>
    <x v="4"/>
    <x v="1"/>
    <n v="36407"/>
    <n v="7281"/>
    <n v="1132"/>
    <n v="4368"/>
    <n v="1272"/>
    <n v="39180"/>
  </r>
  <r>
    <x v="8"/>
    <x v="8"/>
    <x v="2"/>
    <x v="4"/>
    <n v="18268"/>
    <n v="3653"/>
    <n v="4479"/>
    <n v="2192"/>
    <n v="2026"/>
    <n v="22182"/>
  </r>
  <r>
    <x v="9"/>
    <x v="9"/>
    <x v="2"/>
    <x v="0"/>
    <n v="44721"/>
    <n v="8944"/>
    <n v="3217"/>
    <n v="5366"/>
    <n v="2620"/>
    <n v="48896"/>
  </r>
  <r>
    <x v="10"/>
    <x v="10"/>
    <x v="1"/>
    <x v="0"/>
    <n v="54259"/>
    <n v="10851"/>
    <n v="1009"/>
    <n v="6511"/>
    <n v="2363"/>
    <n v="57245"/>
  </r>
  <r>
    <x v="11"/>
    <x v="11"/>
    <x v="2"/>
    <x v="1"/>
    <n v="44325"/>
    <n v="8865"/>
    <n v="1916"/>
    <n v="5319"/>
    <n v="886"/>
    <n v="48901"/>
  </r>
  <r>
    <x v="12"/>
    <x v="12"/>
    <x v="4"/>
    <x v="2"/>
    <n v="50686"/>
    <n v="10137"/>
    <n v="2700"/>
    <n v="6082"/>
    <n v="1471"/>
    <n v="55970"/>
  </r>
  <r>
    <x v="13"/>
    <x v="13"/>
    <x v="1"/>
    <x v="1"/>
    <n v="21346"/>
    <n v="4269"/>
    <n v="4073"/>
    <n v="2561"/>
    <n v="2792"/>
    <n v="24335"/>
  </r>
  <r>
    <x v="14"/>
    <x v="14"/>
    <x v="5"/>
    <x v="3"/>
    <n v="44944"/>
    <n v="8988"/>
    <n v="4629"/>
    <n v="5393"/>
    <n v="2498"/>
    <n v="50670"/>
  </r>
  <r>
    <x v="15"/>
    <x v="15"/>
    <x v="0"/>
    <x v="4"/>
    <n v="18649"/>
    <n v="3729"/>
    <n v="3494"/>
    <n v="2237"/>
    <n v="1826"/>
    <n v="21809"/>
  </r>
  <r>
    <x v="16"/>
    <x v="8"/>
    <x v="0"/>
    <x v="1"/>
    <n v="53156"/>
    <n v="10631"/>
    <n v="4251"/>
    <n v="6378"/>
    <n v="2976"/>
    <n v="58684"/>
  </r>
  <r>
    <x v="17"/>
    <x v="16"/>
    <x v="4"/>
    <x v="4"/>
    <n v="59466"/>
    <n v="11893"/>
    <n v="2332"/>
    <n v="7135"/>
    <n v="1604"/>
    <n v="64952"/>
  </r>
  <r>
    <x v="18"/>
    <x v="17"/>
    <x v="4"/>
    <x v="0"/>
    <n v="52561"/>
    <n v="10512"/>
    <n v="1437"/>
    <n v="6307"/>
    <n v="2006"/>
    <n v="56197"/>
  </r>
  <r>
    <x v="19"/>
    <x v="18"/>
    <x v="3"/>
    <x v="0"/>
    <n v="59566"/>
    <n v="11913"/>
    <n v="2393"/>
    <n v="7147"/>
    <n v="2473"/>
    <n v="64252"/>
  </r>
  <r>
    <x v="20"/>
    <x v="19"/>
    <x v="4"/>
    <x v="1"/>
    <n v="58194"/>
    <n v="11638"/>
    <n v="3214"/>
    <n v="6983"/>
    <n v="2659"/>
    <n v="63404"/>
  </r>
  <r>
    <x v="21"/>
    <x v="20"/>
    <x v="0"/>
    <x v="4"/>
    <n v="28614"/>
    <n v="5722"/>
    <n v="4201"/>
    <n v="3433"/>
    <n v="900"/>
    <n v="34204"/>
  </r>
  <r>
    <x v="22"/>
    <x v="21"/>
    <x v="2"/>
    <x v="2"/>
    <n v="57939"/>
    <n v="11587"/>
    <n v="2009"/>
    <n v="6952"/>
    <n v="2705"/>
    <n v="61878"/>
  </r>
  <r>
    <x v="23"/>
    <x v="12"/>
    <x v="0"/>
    <x v="4"/>
    <n v="30807"/>
    <n v="6161"/>
    <n v="4281"/>
    <n v="3696"/>
    <n v="2285"/>
    <n v="35268"/>
  </r>
  <r>
    <x v="24"/>
    <x v="22"/>
    <x v="1"/>
    <x v="1"/>
    <n v="42127"/>
    <n v="8425"/>
    <n v="2541"/>
    <n v="5055"/>
    <n v="2058"/>
    <n v="45980"/>
  </r>
  <r>
    <x v="25"/>
    <x v="23"/>
    <x v="4"/>
    <x v="4"/>
    <n v="56883"/>
    <n v="11376"/>
    <n v="2773"/>
    <n v="6825"/>
    <n v="2679"/>
    <n v="61528"/>
  </r>
  <r>
    <x v="26"/>
    <x v="24"/>
    <x v="0"/>
    <x v="3"/>
    <n v="58854"/>
    <n v="11770"/>
    <n v="2337"/>
    <n v="7062"/>
    <n v="1153"/>
    <n v="64746"/>
  </r>
  <r>
    <x v="27"/>
    <x v="25"/>
    <x v="1"/>
    <x v="3"/>
    <n v="19071"/>
    <n v="3814"/>
    <n v="4441"/>
    <n v="2288"/>
    <n v="1464"/>
    <n v="23574"/>
  </r>
  <r>
    <x v="28"/>
    <x v="20"/>
    <x v="5"/>
    <x v="4"/>
    <n v="18278"/>
    <n v="3655"/>
    <n v="4149"/>
    <n v="2193"/>
    <n v="1944"/>
    <n v="21945"/>
  </r>
  <r>
    <x v="29"/>
    <x v="21"/>
    <x v="4"/>
    <x v="4"/>
    <n v="17050"/>
    <n v="3410"/>
    <n v="2485"/>
    <n v="2046"/>
    <n v="1141"/>
    <n v="19758"/>
  </r>
  <r>
    <x v="30"/>
    <x v="26"/>
    <x v="1"/>
    <x v="0"/>
    <n v="51234"/>
    <n v="10246"/>
    <n v="3535"/>
    <n v="6148"/>
    <n v="2453"/>
    <n v="56414"/>
  </r>
  <r>
    <x v="31"/>
    <x v="27"/>
    <x v="5"/>
    <x v="4"/>
    <n v="51981"/>
    <n v="10396"/>
    <n v="1887"/>
    <n v="6237"/>
    <n v="1021"/>
    <n v="57006"/>
  </r>
  <r>
    <x v="32"/>
    <x v="28"/>
    <x v="3"/>
    <x v="3"/>
    <n v="41660"/>
    <n v="8332"/>
    <n v="4060"/>
    <n v="4999"/>
    <n v="2211"/>
    <n v="46842"/>
  </r>
  <r>
    <x v="33"/>
    <x v="29"/>
    <x v="5"/>
    <x v="1"/>
    <n v="20162"/>
    <n v="4032"/>
    <n v="4304"/>
    <n v="2419"/>
    <n v="1175"/>
    <n v="24904"/>
  </r>
  <r>
    <x v="34"/>
    <x v="30"/>
    <x v="1"/>
    <x v="3"/>
    <n v="32418"/>
    <n v="6483"/>
    <n v="4095"/>
    <n v="3890"/>
    <n v="860"/>
    <n v="38246"/>
  </r>
  <r>
    <x v="35"/>
    <x v="31"/>
    <x v="1"/>
    <x v="1"/>
    <n v="54719"/>
    <n v="10943"/>
    <n v="2180"/>
    <n v="6566"/>
    <n v="2410"/>
    <n v="58866"/>
  </r>
  <r>
    <x v="36"/>
    <x v="6"/>
    <x v="2"/>
    <x v="3"/>
    <n v="48630"/>
    <n v="9726"/>
    <n v="1584"/>
    <n v="5835"/>
    <n v="2042"/>
    <n v="52063"/>
  </r>
  <r>
    <x v="37"/>
    <x v="26"/>
    <x v="5"/>
    <x v="4"/>
    <n v="19887"/>
    <n v="3977"/>
    <n v="4132"/>
    <n v="2386"/>
    <n v="1698"/>
    <n v="23912"/>
  </r>
  <r>
    <x v="38"/>
    <x v="32"/>
    <x v="0"/>
    <x v="4"/>
    <n v="30856"/>
    <n v="6171"/>
    <n v="4916"/>
    <n v="3702"/>
    <n v="670"/>
    <n v="37571"/>
  </r>
  <r>
    <x v="39"/>
    <x v="33"/>
    <x v="0"/>
    <x v="1"/>
    <n v="25645"/>
    <n v="5129"/>
    <n v="3679"/>
    <n v="3077"/>
    <n v="1318"/>
    <n v="30058"/>
  </r>
  <r>
    <x v="40"/>
    <x v="34"/>
    <x v="4"/>
    <x v="4"/>
    <n v="57521"/>
    <n v="11504"/>
    <n v="4002"/>
    <n v="6902"/>
    <n v="1251"/>
    <n v="64874"/>
  </r>
  <r>
    <x v="41"/>
    <x v="35"/>
    <x v="1"/>
    <x v="2"/>
    <n v="50770"/>
    <n v="10154"/>
    <n v="4829"/>
    <n v="6092"/>
    <n v="1054"/>
    <n v="58607"/>
  </r>
  <r>
    <x v="42"/>
    <x v="5"/>
    <x v="2"/>
    <x v="1"/>
    <n v="21748"/>
    <n v="4349"/>
    <n v="2199"/>
    <n v="2609"/>
    <n v="2438"/>
    <n v="23249"/>
  </r>
  <r>
    <x v="43"/>
    <x v="36"/>
    <x v="5"/>
    <x v="1"/>
    <n v="43679"/>
    <n v="8735"/>
    <n v="4135"/>
    <n v="5241"/>
    <n v="536"/>
    <n v="50772"/>
  </r>
  <r>
    <x v="44"/>
    <x v="37"/>
    <x v="2"/>
    <x v="0"/>
    <n v="32609"/>
    <n v="6521"/>
    <n v="1997"/>
    <n v="3913"/>
    <n v="992"/>
    <n v="36222"/>
  </r>
  <r>
    <x v="45"/>
    <x v="38"/>
    <x v="1"/>
    <x v="3"/>
    <n v="54060"/>
    <n v="10812"/>
    <n v="2221"/>
    <n v="6487"/>
    <n v="1182"/>
    <n v="59424"/>
  </r>
  <r>
    <x v="46"/>
    <x v="20"/>
    <x v="3"/>
    <x v="1"/>
    <n v="44200"/>
    <n v="8840"/>
    <n v="4872"/>
    <n v="5304"/>
    <n v="2688"/>
    <n v="49920"/>
  </r>
  <r>
    <x v="47"/>
    <x v="39"/>
    <x v="0"/>
    <x v="4"/>
    <n v="30724"/>
    <n v="6144"/>
    <n v="4851"/>
    <n v="3686"/>
    <n v="2066"/>
    <n v="35967"/>
  </r>
  <r>
    <x v="48"/>
    <x v="40"/>
    <x v="2"/>
    <x v="0"/>
    <n v="17539"/>
    <n v="3507"/>
    <n v="4041"/>
    <n v="2104"/>
    <n v="2416"/>
    <n v="20567"/>
  </r>
  <r>
    <x v="49"/>
    <x v="41"/>
    <x v="3"/>
    <x v="4"/>
    <n v="51211"/>
    <n v="10242"/>
    <n v="2705"/>
    <n v="6145"/>
    <n v="2720"/>
    <n v="55293"/>
  </r>
  <r>
    <x v="50"/>
    <x v="38"/>
    <x v="2"/>
    <x v="2"/>
    <n v="30658"/>
    <n v="6131"/>
    <n v="2409"/>
    <n v="3678"/>
    <n v="739"/>
    <n v="34781"/>
  </r>
  <r>
    <x v="51"/>
    <x v="19"/>
    <x v="5"/>
    <x v="1"/>
    <n v="40674"/>
    <n v="8134"/>
    <n v="3415"/>
    <n v="4880"/>
    <n v="1469"/>
    <n v="45874"/>
  </r>
  <r>
    <x v="52"/>
    <x v="42"/>
    <x v="5"/>
    <x v="1"/>
    <n v="26912"/>
    <n v="5382"/>
    <n v="1473"/>
    <n v="3229"/>
    <n v="1554"/>
    <n v="28984"/>
  </r>
  <r>
    <x v="53"/>
    <x v="43"/>
    <x v="3"/>
    <x v="1"/>
    <n v="29020"/>
    <n v="5804"/>
    <n v="3205"/>
    <n v="3482"/>
    <n v="1075"/>
    <n v="33472"/>
  </r>
  <r>
    <x v="54"/>
    <x v="35"/>
    <x v="2"/>
    <x v="1"/>
    <n v="20988"/>
    <n v="4197"/>
    <n v="2074"/>
    <n v="2518"/>
    <n v="1458"/>
    <n v="23283"/>
  </r>
  <r>
    <x v="55"/>
    <x v="44"/>
    <x v="5"/>
    <x v="4"/>
    <n v="54111"/>
    <n v="10822"/>
    <n v="1421"/>
    <n v="6493"/>
    <n v="2036"/>
    <n v="57825"/>
  </r>
  <r>
    <x v="56"/>
    <x v="37"/>
    <x v="3"/>
    <x v="4"/>
    <n v="52525"/>
    <n v="10505"/>
    <n v="3471"/>
    <n v="6303"/>
    <n v="1078"/>
    <n v="59120"/>
  </r>
  <r>
    <x v="57"/>
    <x v="45"/>
    <x v="5"/>
    <x v="0"/>
    <n v="57368"/>
    <n v="11473"/>
    <n v="4545"/>
    <n v="6884"/>
    <n v="1099"/>
    <n v="65403"/>
  </r>
  <r>
    <x v="58"/>
    <x v="19"/>
    <x v="0"/>
    <x v="4"/>
    <n v="16498"/>
    <n v="3299"/>
    <n v="1938"/>
    <n v="1979"/>
    <n v="2190"/>
    <n v="17566"/>
  </r>
  <r>
    <x v="59"/>
    <x v="46"/>
    <x v="1"/>
    <x v="2"/>
    <n v="38201"/>
    <n v="7640"/>
    <n v="1201"/>
    <n v="4584"/>
    <n v="2087"/>
    <n v="40371"/>
  </r>
  <r>
    <x v="60"/>
    <x v="47"/>
    <x v="1"/>
    <x v="4"/>
    <n v="42021"/>
    <n v="8404"/>
    <n v="1994"/>
    <n v="5042"/>
    <n v="1731"/>
    <n v="45646"/>
  </r>
  <r>
    <x v="61"/>
    <x v="48"/>
    <x v="2"/>
    <x v="2"/>
    <n v="33525"/>
    <n v="6705"/>
    <n v="4894"/>
    <n v="4023"/>
    <n v="956"/>
    <n v="40145"/>
  </r>
  <r>
    <x v="62"/>
    <x v="13"/>
    <x v="5"/>
    <x v="0"/>
    <n v="51010"/>
    <n v="10202"/>
    <n v="2212"/>
    <n v="6121"/>
    <n v="1171"/>
    <n v="56132"/>
  </r>
  <r>
    <x v="63"/>
    <x v="49"/>
    <x v="2"/>
    <x v="4"/>
    <n v="44575"/>
    <n v="8915"/>
    <n v="2575"/>
    <n v="5349"/>
    <n v="1152"/>
    <n v="49564"/>
  </r>
  <r>
    <x v="64"/>
    <x v="50"/>
    <x v="0"/>
    <x v="0"/>
    <n v="17674"/>
    <n v="3534"/>
    <n v="3605"/>
    <n v="2120"/>
    <n v="666"/>
    <n v="22027"/>
  </r>
  <r>
    <x v="65"/>
    <x v="48"/>
    <x v="2"/>
    <x v="2"/>
    <n v="52585"/>
    <n v="10517"/>
    <n v="3584"/>
    <n v="6310"/>
    <n v="2562"/>
    <n v="57814"/>
  </r>
  <r>
    <x v="66"/>
    <x v="51"/>
    <x v="5"/>
    <x v="1"/>
    <n v="55834"/>
    <n v="11166"/>
    <n v="1370"/>
    <n v="6700"/>
    <n v="1376"/>
    <n v="60294"/>
  </r>
  <r>
    <x v="67"/>
    <x v="52"/>
    <x v="5"/>
    <x v="0"/>
    <n v="48349"/>
    <n v="9669"/>
    <n v="3919"/>
    <n v="5801"/>
    <n v="2752"/>
    <n v="53384"/>
  </r>
  <r>
    <x v="68"/>
    <x v="45"/>
    <x v="1"/>
    <x v="3"/>
    <n v="18075"/>
    <n v="3615"/>
    <n v="2987"/>
    <n v="2169"/>
    <n v="2015"/>
    <n v="20493"/>
  </r>
  <r>
    <x v="69"/>
    <x v="53"/>
    <x v="4"/>
    <x v="3"/>
    <n v="56480"/>
    <n v="11296"/>
    <n v="3958"/>
    <n v="6777"/>
    <n v="1462"/>
    <n v="63495"/>
  </r>
  <r>
    <x v="70"/>
    <x v="26"/>
    <x v="3"/>
    <x v="2"/>
    <n v="56798"/>
    <n v="11359"/>
    <n v="1242"/>
    <n v="6815"/>
    <n v="2070"/>
    <n v="60514"/>
  </r>
  <r>
    <x v="71"/>
    <x v="25"/>
    <x v="4"/>
    <x v="1"/>
    <n v="34501"/>
    <n v="6900"/>
    <n v="4965"/>
    <n v="4140"/>
    <n v="2673"/>
    <n v="39553"/>
  </r>
  <r>
    <x v="72"/>
    <x v="47"/>
    <x v="5"/>
    <x v="4"/>
    <n v="38040"/>
    <n v="7608"/>
    <n v="1592"/>
    <n v="4564"/>
    <n v="2341"/>
    <n v="40335"/>
  </r>
  <r>
    <x v="73"/>
    <x v="21"/>
    <x v="3"/>
    <x v="0"/>
    <n v="37103"/>
    <n v="7420"/>
    <n v="4410"/>
    <n v="4452"/>
    <n v="2633"/>
    <n v="41848"/>
  </r>
  <r>
    <x v="74"/>
    <x v="54"/>
    <x v="1"/>
    <x v="4"/>
    <n v="26869"/>
    <n v="5373"/>
    <n v="1912"/>
    <n v="3224"/>
    <n v="931"/>
    <n v="29999"/>
  </r>
  <r>
    <x v="75"/>
    <x v="30"/>
    <x v="1"/>
    <x v="4"/>
    <n v="48105"/>
    <n v="9621"/>
    <n v="2692"/>
    <n v="5772"/>
    <n v="1164"/>
    <n v="53482"/>
  </r>
  <r>
    <x v="76"/>
    <x v="55"/>
    <x v="5"/>
    <x v="3"/>
    <n v="41221"/>
    <n v="8244"/>
    <n v="2197"/>
    <n v="4946"/>
    <n v="1358"/>
    <n v="45358"/>
  </r>
  <r>
    <x v="77"/>
    <x v="49"/>
    <x v="4"/>
    <x v="4"/>
    <n v="16076"/>
    <n v="3215"/>
    <n v="1339"/>
    <n v="1929"/>
    <n v="2840"/>
    <n v="15861"/>
  </r>
  <r>
    <x v="78"/>
    <x v="50"/>
    <x v="1"/>
    <x v="3"/>
    <n v="56132"/>
    <n v="11226"/>
    <n v="2431"/>
    <n v="6735"/>
    <n v="1442"/>
    <n v="61612"/>
  </r>
  <r>
    <x v="79"/>
    <x v="56"/>
    <x v="3"/>
    <x v="3"/>
    <n v="15286"/>
    <n v="3057"/>
    <n v="4506"/>
    <n v="1834"/>
    <n v="570"/>
    <n v="20445"/>
  </r>
  <r>
    <x v="80"/>
    <x v="27"/>
    <x v="0"/>
    <x v="1"/>
    <n v="32139"/>
    <n v="6427"/>
    <n v="3713"/>
    <n v="3856"/>
    <n v="910"/>
    <n v="37513"/>
  </r>
  <r>
    <x v="81"/>
    <x v="21"/>
    <x v="0"/>
    <x v="2"/>
    <n v="31439"/>
    <n v="6287"/>
    <n v="1512"/>
    <n v="3772"/>
    <n v="2270"/>
    <n v="33196"/>
  </r>
  <r>
    <x v="82"/>
    <x v="57"/>
    <x v="0"/>
    <x v="0"/>
    <n v="42176"/>
    <n v="8435"/>
    <n v="4593"/>
    <n v="5061"/>
    <n v="1076"/>
    <n v="49067"/>
  </r>
  <r>
    <x v="83"/>
    <x v="46"/>
    <x v="5"/>
    <x v="4"/>
    <n v="54289"/>
    <n v="10857"/>
    <n v="3198"/>
    <n v="6514"/>
    <n v="1227"/>
    <n v="60603"/>
  </r>
  <r>
    <x v="84"/>
    <x v="46"/>
    <x v="0"/>
    <x v="3"/>
    <n v="54471"/>
    <n v="10894"/>
    <n v="2484"/>
    <n v="6536"/>
    <n v="1698"/>
    <n v="59615"/>
  </r>
  <r>
    <x v="85"/>
    <x v="58"/>
    <x v="4"/>
    <x v="2"/>
    <n v="36150"/>
    <n v="7230"/>
    <n v="2366"/>
    <n v="4338"/>
    <n v="2735"/>
    <n v="38673"/>
  </r>
  <r>
    <x v="86"/>
    <x v="33"/>
    <x v="5"/>
    <x v="1"/>
    <n v="48995"/>
    <n v="9799"/>
    <n v="1268"/>
    <n v="5879"/>
    <n v="2577"/>
    <n v="51606"/>
  </r>
  <r>
    <x v="87"/>
    <x v="59"/>
    <x v="3"/>
    <x v="4"/>
    <n v="52666"/>
    <n v="10533"/>
    <n v="2438"/>
    <n v="6319"/>
    <n v="879"/>
    <n v="58439"/>
  </r>
  <r>
    <x v="88"/>
    <x v="60"/>
    <x v="3"/>
    <x v="3"/>
    <n v="35729"/>
    <n v="7145"/>
    <n v="1426"/>
    <n v="4287"/>
    <n v="1016"/>
    <n v="38997"/>
  </r>
  <r>
    <x v="89"/>
    <x v="61"/>
    <x v="0"/>
    <x v="0"/>
    <n v="41591"/>
    <n v="8318"/>
    <n v="3044"/>
    <n v="4990"/>
    <n v="2036"/>
    <n v="45927"/>
  </r>
  <r>
    <x v="90"/>
    <x v="44"/>
    <x v="3"/>
    <x v="0"/>
    <n v="31101"/>
    <n v="6220"/>
    <n v="2879"/>
    <n v="3732"/>
    <n v="2180"/>
    <n v="34288"/>
  </r>
  <r>
    <x v="91"/>
    <x v="62"/>
    <x v="0"/>
    <x v="2"/>
    <n v="30885"/>
    <n v="6177"/>
    <n v="3569"/>
    <n v="3706"/>
    <n v="1282"/>
    <n v="35643"/>
  </r>
  <r>
    <x v="92"/>
    <x v="1"/>
    <x v="5"/>
    <x v="3"/>
    <n v="22996"/>
    <n v="4599"/>
    <n v="3051"/>
    <n v="2759"/>
    <n v="1526"/>
    <n v="26361"/>
  </r>
  <r>
    <x v="93"/>
    <x v="63"/>
    <x v="3"/>
    <x v="2"/>
    <n v="58043"/>
    <n v="11608"/>
    <n v="1712"/>
    <n v="6965"/>
    <n v="1681"/>
    <n v="62717"/>
  </r>
  <r>
    <x v="94"/>
    <x v="8"/>
    <x v="4"/>
    <x v="0"/>
    <n v="28476"/>
    <n v="5695"/>
    <n v="1392"/>
    <n v="3417"/>
    <n v="1717"/>
    <n v="30429"/>
  </r>
  <r>
    <x v="95"/>
    <x v="29"/>
    <x v="1"/>
    <x v="4"/>
    <n v="38431"/>
    <n v="7686"/>
    <n v="4114"/>
    <n v="4611"/>
    <n v="851"/>
    <n v="44769"/>
  </r>
  <r>
    <x v="96"/>
    <x v="1"/>
    <x v="0"/>
    <x v="2"/>
    <n v="29188"/>
    <n v="5837"/>
    <n v="4273"/>
    <n v="3502"/>
    <n v="1652"/>
    <n v="34144"/>
  </r>
  <r>
    <x v="97"/>
    <x v="2"/>
    <x v="2"/>
    <x v="2"/>
    <n v="43936"/>
    <n v="8787"/>
    <n v="4077"/>
    <n v="5272"/>
    <n v="1354"/>
    <n v="50174"/>
  </r>
  <r>
    <x v="98"/>
    <x v="1"/>
    <x v="0"/>
    <x v="3"/>
    <n v="42088"/>
    <n v="8417"/>
    <n v="3212"/>
    <n v="5050"/>
    <n v="1880"/>
    <n v="46787"/>
  </r>
  <r>
    <x v="99"/>
    <x v="64"/>
    <x v="1"/>
    <x v="0"/>
    <n v="33275"/>
    <n v="6655"/>
    <n v="3400"/>
    <n v="3993"/>
    <n v="892"/>
    <n v="38445"/>
  </r>
  <r>
    <x v="100"/>
    <x v="55"/>
    <x v="1"/>
    <x v="0"/>
    <n v="36840"/>
    <n v="7368"/>
    <n v="1566"/>
    <n v="4420"/>
    <n v="951"/>
    <n v="40403"/>
  </r>
  <r>
    <x v="101"/>
    <x v="65"/>
    <x v="3"/>
    <x v="4"/>
    <n v="23879"/>
    <n v="4775"/>
    <n v="3648"/>
    <n v="2865"/>
    <n v="2560"/>
    <n v="26877"/>
  </r>
  <r>
    <x v="102"/>
    <x v="2"/>
    <x v="1"/>
    <x v="2"/>
    <n v="16613"/>
    <n v="3322"/>
    <n v="2518"/>
    <n v="1993"/>
    <n v="1278"/>
    <n v="19182"/>
  </r>
  <r>
    <x v="103"/>
    <x v="9"/>
    <x v="3"/>
    <x v="3"/>
    <n v="48204"/>
    <n v="9640"/>
    <n v="2771"/>
    <n v="5784"/>
    <n v="1118"/>
    <n v="53713"/>
  </r>
  <r>
    <x v="104"/>
    <x v="46"/>
    <x v="0"/>
    <x v="3"/>
    <n v="22581"/>
    <n v="4516"/>
    <n v="1528"/>
    <n v="2709"/>
    <n v="1639"/>
    <n v="24277"/>
  </r>
  <r>
    <x v="105"/>
    <x v="14"/>
    <x v="4"/>
    <x v="4"/>
    <n v="43259"/>
    <n v="8651"/>
    <n v="3764"/>
    <n v="5191"/>
    <n v="1145"/>
    <n v="49338"/>
  </r>
  <r>
    <x v="106"/>
    <x v="20"/>
    <x v="2"/>
    <x v="1"/>
    <n v="54689"/>
    <n v="10937"/>
    <n v="4211"/>
    <n v="6562"/>
    <n v="2548"/>
    <n v="60727"/>
  </r>
  <r>
    <x v="107"/>
    <x v="53"/>
    <x v="4"/>
    <x v="2"/>
    <n v="55145"/>
    <n v="11029"/>
    <n v="4126"/>
    <n v="6617"/>
    <n v="2824"/>
    <n v="60859"/>
  </r>
  <r>
    <x v="108"/>
    <x v="62"/>
    <x v="3"/>
    <x v="2"/>
    <n v="50491"/>
    <n v="10098"/>
    <n v="3852"/>
    <n v="6058"/>
    <n v="922"/>
    <n v="57461"/>
  </r>
  <r>
    <x v="109"/>
    <x v="51"/>
    <x v="4"/>
    <x v="2"/>
    <n v="53909"/>
    <n v="10781"/>
    <n v="3171"/>
    <n v="6469"/>
    <n v="2682"/>
    <n v="58710"/>
  </r>
  <r>
    <x v="110"/>
    <x v="22"/>
    <x v="3"/>
    <x v="3"/>
    <n v="16230"/>
    <n v="3246"/>
    <n v="4737"/>
    <n v="1947"/>
    <n v="1364"/>
    <n v="20902"/>
  </r>
  <r>
    <x v="111"/>
    <x v="56"/>
    <x v="2"/>
    <x v="1"/>
    <n v="20167"/>
    <n v="4033"/>
    <n v="3058"/>
    <n v="2420"/>
    <n v="2435"/>
    <n v="22403"/>
  </r>
  <r>
    <x v="112"/>
    <x v="13"/>
    <x v="0"/>
    <x v="3"/>
    <n v="41355"/>
    <n v="8271"/>
    <n v="4809"/>
    <n v="4962"/>
    <n v="940"/>
    <n v="48533"/>
  </r>
  <r>
    <x v="113"/>
    <x v="66"/>
    <x v="4"/>
    <x v="1"/>
    <n v="42998"/>
    <n v="8599"/>
    <n v="2549"/>
    <n v="5159"/>
    <n v="2580"/>
    <n v="46407"/>
  </r>
  <r>
    <x v="114"/>
    <x v="34"/>
    <x v="4"/>
    <x v="1"/>
    <n v="31672"/>
    <n v="6334"/>
    <n v="4247"/>
    <n v="3800"/>
    <n v="2002"/>
    <n v="36451"/>
  </r>
  <r>
    <x v="115"/>
    <x v="14"/>
    <x v="5"/>
    <x v="1"/>
    <n v="58145"/>
    <n v="11629"/>
    <n v="4369"/>
    <n v="6977"/>
    <n v="2332"/>
    <n v="64834"/>
  </r>
  <r>
    <x v="116"/>
    <x v="67"/>
    <x v="4"/>
    <x v="3"/>
    <n v="35968"/>
    <n v="7193"/>
    <n v="4177"/>
    <n v="4316"/>
    <n v="2962"/>
    <n v="40060"/>
  </r>
  <r>
    <x v="117"/>
    <x v="68"/>
    <x v="4"/>
    <x v="3"/>
    <n v="56069"/>
    <n v="11213"/>
    <n v="3149"/>
    <n v="6728"/>
    <n v="1826"/>
    <n v="61877"/>
  </r>
  <r>
    <x v="118"/>
    <x v="64"/>
    <x v="1"/>
    <x v="0"/>
    <n v="26258"/>
    <n v="5251"/>
    <n v="3620"/>
    <n v="3150"/>
    <n v="507"/>
    <n v="31472"/>
  </r>
  <r>
    <x v="119"/>
    <x v="69"/>
    <x v="2"/>
    <x v="2"/>
    <n v="33144"/>
    <n v="6628"/>
    <n v="4997"/>
    <n v="3977"/>
    <n v="1438"/>
    <n v="39354"/>
  </r>
  <r>
    <x v="120"/>
    <x v="63"/>
    <x v="5"/>
    <x v="2"/>
    <n v="57694"/>
    <n v="11538"/>
    <n v="4034"/>
    <n v="6923"/>
    <n v="2056"/>
    <n v="64287"/>
  </r>
  <r>
    <x v="121"/>
    <x v="44"/>
    <x v="4"/>
    <x v="1"/>
    <n v="22293"/>
    <n v="4458"/>
    <n v="2401"/>
    <n v="2675"/>
    <n v="2672"/>
    <n v="23805"/>
  </r>
  <r>
    <x v="122"/>
    <x v="70"/>
    <x v="0"/>
    <x v="3"/>
    <n v="55922"/>
    <n v="11184"/>
    <n v="1414"/>
    <n v="6710"/>
    <n v="2072"/>
    <n v="59738"/>
  </r>
  <r>
    <x v="123"/>
    <x v="18"/>
    <x v="0"/>
    <x v="0"/>
    <n v="44515"/>
    <n v="8903"/>
    <n v="4534"/>
    <n v="5341"/>
    <n v="2003"/>
    <n v="50608"/>
  </r>
  <r>
    <x v="124"/>
    <x v="1"/>
    <x v="4"/>
    <x v="0"/>
    <n v="56705"/>
    <n v="11341"/>
    <n v="4249"/>
    <n v="6804"/>
    <n v="2981"/>
    <n v="62510"/>
  </r>
  <r>
    <x v="125"/>
    <x v="71"/>
    <x v="4"/>
    <x v="1"/>
    <n v="46843"/>
    <n v="9368"/>
    <n v="3385"/>
    <n v="5621"/>
    <n v="2653"/>
    <n v="51322"/>
  </r>
  <r>
    <x v="126"/>
    <x v="56"/>
    <x v="0"/>
    <x v="0"/>
    <n v="18999"/>
    <n v="3799"/>
    <n v="3165"/>
    <n v="2279"/>
    <n v="1250"/>
    <n v="22434"/>
  </r>
  <r>
    <x v="127"/>
    <x v="72"/>
    <x v="3"/>
    <x v="3"/>
    <n v="34794"/>
    <n v="6958"/>
    <n v="1385"/>
    <n v="4175"/>
    <n v="1147"/>
    <n v="37815"/>
  </r>
  <r>
    <x v="128"/>
    <x v="73"/>
    <x v="1"/>
    <x v="1"/>
    <n v="41227"/>
    <n v="8245"/>
    <n v="4368"/>
    <n v="4947"/>
    <n v="917"/>
    <n v="47976"/>
  </r>
  <r>
    <x v="129"/>
    <x v="68"/>
    <x v="3"/>
    <x v="0"/>
    <n v="16306"/>
    <n v="3261"/>
    <n v="2178"/>
    <n v="1956"/>
    <n v="1732"/>
    <n v="18057"/>
  </r>
  <r>
    <x v="130"/>
    <x v="61"/>
    <x v="1"/>
    <x v="4"/>
    <n v="33930"/>
    <n v="6786"/>
    <n v="3247"/>
    <n v="4071"/>
    <n v="1528"/>
    <n v="38364"/>
  </r>
  <r>
    <x v="131"/>
    <x v="31"/>
    <x v="5"/>
    <x v="3"/>
    <n v="19448"/>
    <n v="3889"/>
    <n v="4435"/>
    <n v="2333"/>
    <n v="589"/>
    <n v="24850"/>
  </r>
  <r>
    <x v="132"/>
    <x v="25"/>
    <x v="5"/>
    <x v="2"/>
    <n v="29985"/>
    <n v="5997"/>
    <n v="2891"/>
    <n v="3598"/>
    <n v="1084"/>
    <n v="34191"/>
  </r>
  <r>
    <x v="133"/>
    <x v="20"/>
    <x v="2"/>
    <x v="4"/>
    <n v="54718"/>
    <n v="10943"/>
    <n v="3992"/>
    <n v="6566"/>
    <n v="2074"/>
    <n v="61013"/>
  </r>
  <r>
    <x v="134"/>
    <x v="56"/>
    <x v="2"/>
    <x v="4"/>
    <n v="49315"/>
    <n v="9863"/>
    <n v="4090"/>
    <n v="5917"/>
    <n v="1378"/>
    <n v="55973"/>
  </r>
  <r>
    <x v="135"/>
    <x v="35"/>
    <x v="5"/>
    <x v="3"/>
    <n v="34443"/>
    <n v="6888"/>
    <n v="1580"/>
    <n v="4133"/>
    <n v="2147"/>
    <n v="36631"/>
  </r>
  <r>
    <x v="136"/>
    <x v="74"/>
    <x v="1"/>
    <x v="2"/>
    <n v="15724"/>
    <n v="3144"/>
    <n v="4795"/>
    <n v="1886"/>
    <n v="2813"/>
    <n v="18964"/>
  </r>
  <r>
    <x v="137"/>
    <x v="75"/>
    <x v="2"/>
    <x v="4"/>
    <n v="51541"/>
    <n v="10308"/>
    <n v="2523"/>
    <n v="6184"/>
    <n v="1836"/>
    <n v="56352"/>
  </r>
  <r>
    <x v="138"/>
    <x v="36"/>
    <x v="4"/>
    <x v="4"/>
    <n v="50182"/>
    <n v="10036"/>
    <n v="1905"/>
    <n v="6021"/>
    <n v="2091"/>
    <n v="54011"/>
  </r>
  <r>
    <x v="139"/>
    <x v="76"/>
    <x v="4"/>
    <x v="1"/>
    <n v="15366"/>
    <n v="3073"/>
    <n v="3471"/>
    <n v="1843"/>
    <n v="1159"/>
    <n v="18908"/>
  </r>
  <r>
    <x v="140"/>
    <x v="61"/>
    <x v="4"/>
    <x v="4"/>
    <n v="19489"/>
    <n v="3897"/>
    <n v="1087"/>
    <n v="2338"/>
    <n v="2608"/>
    <n v="19527"/>
  </r>
  <r>
    <x v="141"/>
    <x v="39"/>
    <x v="5"/>
    <x v="3"/>
    <n v="51646"/>
    <n v="10329"/>
    <n v="1840"/>
    <n v="6197"/>
    <n v="579"/>
    <n v="57039"/>
  </r>
  <r>
    <x v="142"/>
    <x v="58"/>
    <x v="2"/>
    <x v="3"/>
    <n v="54354"/>
    <n v="10870"/>
    <n v="2997"/>
    <n v="6522"/>
    <n v="1083"/>
    <n v="60616"/>
  </r>
  <r>
    <x v="143"/>
    <x v="22"/>
    <x v="4"/>
    <x v="0"/>
    <n v="26351"/>
    <n v="5270"/>
    <n v="3438"/>
    <n v="3162"/>
    <n v="1878"/>
    <n v="30019"/>
  </r>
  <r>
    <x v="144"/>
    <x v="76"/>
    <x v="3"/>
    <x v="2"/>
    <n v="43339"/>
    <n v="8667"/>
    <n v="4867"/>
    <n v="5200"/>
    <n v="777"/>
    <n v="50896"/>
  </r>
  <r>
    <x v="145"/>
    <x v="63"/>
    <x v="3"/>
    <x v="3"/>
    <n v="29971"/>
    <n v="5994"/>
    <n v="3256"/>
    <n v="3596"/>
    <n v="1257"/>
    <n v="34368"/>
  </r>
  <r>
    <x v="146"/>
    <x v="61"/>
    <x v="1"/>
    <x v="1"/>
    <n v="39817"/>
    <n v="7963"/>
    <n v="3972"/>
    <n v="4778"/>
    <n v="1708"/>
    <n v="45266"/>
  </r>
  <r>
    <x v="147"/>
    <x v="62"/>
    <x v="0"/>
    <x v="2"/>
    <n v="19806"/>
    <n v="3961"/>
    <n v="3601"/>
    <n v="2376"/>
    <n v="2818"/>
    <n v="22174"/>
  </r>
  <r>
    <x v="148"/>
    <x v="40"/>
    <x v="2"/>
    <x v="1"/>
    <n v="21484"/>
    <n v="4296"/>
    <n v="3006"/>
    <n v="2578"/>
    <n v="2889"/>
    <n v="23319"/>
  </r>
  <r>
    <x v="149"/>
    <x v="55"/>
    <x v="2"/>
    <x v="1"/>
    <n v="45604"/>
    <n v="9120"/>
    <n v="2993"/>
    <n v="5472"/>
    <n v="2564"/>
    <n v="49681"/>
  </r>
  <r>
    <x v="150"/>
    <x v="38"/>
    <x v="0"/>
    <x v="2"/>
    <n v="58437"/>
    <n v="11687"/>
    <n v="4184"/>
    <n v="7012"/>
    <n v="1655"/>
    <n v="65641"/>
  </r>
  <r>
    <x v="151"/>
    <x v="27"/>
    <x v="0"/>
    <x v="0"/>
    <n v="58014"/>
    <n v="11602"/>
    <n v="2075"/>
    <n v="6961"/>
    <n v="2240"/>
    <n v="62490"/>
  </r>
  <r>
    <x v="152"/>
    <x v="53"/>
    <x v="3"/>
    <x v="0"/>
    <n v="26143"/>
    <n v="5228"/>
    <n v="4237"/>
    <n v="3137"/>
    <n v="2907"/>
    <n v="29564"/>
  </r>
  <r>
    <x v="153"/>
    <x v="20"/>
    <x v="5"/>
    <x v="2"/>
    <n v="28719"/>
    <n v="5743"/>
    <n v="2488"/>
    <n v="3446"/>
    <n v="1341"/>
    <n v="32163"/>
  </r>
  <r>
    <x v="154"/>
    <x v="5"/>
    <x v="4"/>
    <x v="0"/>
    <n v="29327"/>
    <n v="5865"/>
    <n v="4697"/>
    <n v="3519"/>
    <n v="2741"/>
    <n v="33629"/>
  </r>
  <r>
    <x v="155"/>
    <x v="50"/>
    <x v="5"/>
    <x v="3"/>
    <n v="29075"/>
    <n v="5815"/>
    <n v="1144"/>
    <n v="3489"/>
    <n v="1843"/>
    <n v="30702"/>
  </r>
  <r>
    <x v="156"/>
    <x v="77"/>
    <x v="5"/>
    <x v="2"/>
    <n v="32293"/>
    <n v="6458"/>
    <n v="4325"/>
    <n v="3875"/>
    <n v="2146"/>
    <n v="37055"/>
  </r>
  <r>
    <x v="157"/>
    <x v="70"/>
    <x v="4"/>
    <x v="4"/>
    <n v="24608"/>
    <n v="4921"/>
    <n v="3746"/>
    <n v="2952"/>
    <n v="1344"/>
    <n v="28979"/>
  </r>
  <r>
    <x v="158"/>
    <x v="4"/>
    <x v="2"/>
    <x v="0"/>
    <n v="15611"/>
    <n v="3122"/>
    <n v="3014"/>
    <n v="1873"/>
    <n v="1904"/>
    <n v="17970"/>
  </r>
  <r>
    <x v="159"/>
    <x v="26"/>
    <x v="4"/>
    <x v="0"/>
    <n v="50006"/>
    <n v="10001"/>
    <n v="2393"/>
    <n v="6000"/>
    <n v="1082"/>
    <n v="55318"/>
  </r>
  <r>
    <x v="160"/>
    <x v="63"/>
    <x v="2"/>
    <x v="2"/>
    <n v="40593"/>
    <n v="8118"/>
    <n v="1480"/>
    <n v="4871"/>
    <n v="1002"/>
    <n v="44318"/>
  </r>
  <r>
    <x v="161"/>
    <x v="9"/>
    <x v="2"/>
    <x v="3"/>
    <n v="30719"/>
    <n v="6143"/>
    <n v="3053"/>
    <n v="3686"/>
    <n v="1032"/>
    <n v="35197"/>
  </r>
  <r>
    <x v="162"/>
    <x v="11"/>
    <x v="4"/>
    <x v="0"/>
    <n v="51774"/>
    <n v="10354"/>
    <n v="2932"/>
    <n v="6212"/>
    <n v="687"/>
    <n v="58161"/>
  </r>
  <r>
    <x v="163"/>
    <x v="78"/>
    <x v="5"/>
    <x v="4"/>
    <n v="54842"/>
    <n v="10968"/>
    <n v="1151"/>
    <n v="6581"/>
    <n v="2318"/>
    <n v="58062"/>
  </r>
  <r>
    <x v="164"/>
    <x v="53"/>
    <x v="0"/>
    <x v="3"/>
    <n v="29171"/>
    <n v="5834"/>
    <n v="4820"/>
    <n v="3500"/>
    <n v="1454"/>
    <n v="34871"/>
  </r>
  <r>
    <x v="165"/>
    <x v="54"/>
    <x v="1"/>
    <x v="0"/>
    <n v="43125"/>
    <n v="8625"/>
    <n v="4910"/>
    <n v="5175"/>
    <n v="2123"/>
    <n v="49362"/>
  </r>
  <r>
    <x v="166"/>
    <x v="5"/>
    <x v="3"/>
    <x v="2"/>
    <n v="48944"/>
    <n v="9788"/>
    <n v="1720"/>
    <n v="5873"/>
    <n v="622"/>
    <n v="53957"/>
  </r>
  <r>
    <x v="167"/>
    <x v="57"/>
    <x v="2"/>
    <x v="2"/>
    <n v="37527"/>
    <n v="7505"/>
    <n v="4615"/>
    <n v="4503"/>
    <n v="2787"/>
    <n v="42357"/>
  </r>
  <r>
    <x v="168"/>
    <x v="2"/>
    <x v="4"/>
    <x v="1"/>
    <n v="16600"/>
    <n v="3320"/>
    <n v="2622"/>
    <n v="1992"/>
    <n v="991"/>
    <n v="19559"/>
  </r>
  <r>
    <x v="169"/>
    <x v="45"/>
    <x v="3"/>
    <x v="3"/>
    <n v="54688"/>
    <n v="10937"/>
    <n v="2258"/>
    <n v="6562"/>
    <n v="1148"/>
    <n v="60173"/>
  </r>
  <r>
    <x v="170"/>
    <x v="79"/>
    <x v="0"/>
    <x v="4"/>
    <n v="25603"/>
    <n v="5120"/>
    <n v="4625"/>
    <n v="3072"/>
    <n v="963"/>
    <n v="31313"/>
  </r>
  <r>
    <x v="171"/>
    <x v="24"/>
    <x v="2"/>
    <x v="1"/>
    <n v="45728"/>
    <n v="9145"/>
    <n v="3213"/>
    <n v="5487"/>
    <n v="1760"/>
    <n v="50839"/>
  </r>
  <r>
    <x v="172"/>
    <x v="80"/>
    <x v="0"/>
    <x v="2"/>
    <n v="31114"/>
    <n v="6222"/>
    <n v="4572"/>
    <n v="3733"/>
    <n v="899"/>
    <n v="37276"/>
  </r>
  <r>
    <x v="173"/>
    <x v="8"/>
    <x v="5"/>
    <x v="3"/>
    <n v="18268"/>
    <n v="3653"/>
    <n v="3386"/>
    <n v="2192"/>
    <n v="607"/>
    <n v="22508"/>
  </r>
  <r>
    <x v="174"/>
    <x v="81"/>
    <x v="1"/>
    <x v="4"/>
    <n v="18578"/>
    <n v="3715"/>
    <n v="2392"/>
    <n v="2229"/>
    <n v="2251"/>
    <n v="20205"/>
  </r>
  <r>
    <x v="175"/>
    <x v="70"/>
    <x v="2"/>
    <x v="4"/>
    <n v="28036"/>
    <n v="5607"/>
    <n v="4056"/>
    <n v="3364"/>
    <n v="2529"/>
    <n v="31806"/>
  </r>
  <r>
    <x v="176"/>
    <x v="70"/>
    <x v="5"/>
    <x v="1"/>
    <n v="34761"/>
    <n v="6952"/>
    <n v="4444"/>
    <n v="4171"/>
    <n v="2662"/>
    <n v="39324"/>
  </r>
  <r>
    <x v="177"/>
    <x v="34"/>
    <x v="0"/>
    <x v="1"/>
    <n v="30390"/>
    <n v="6078"/>
    <n v="2198"/>
    <n v="3646"/>
    <n v="1258"/>
    <n v="33762"/>
  </r>
  <r>
    <x v="178"/>
    <x v="6"/>
    <x v="1"/>
    <x v="4"/>
    <n v="29394"/>
    <n v="5878"/>
    <n v="4837"/>
    <n v="3527"/>
    <n v="857"/>
    <n v="35725"/>
  </r>
  <r>
    <x v="179"/>
    <x v="9"/>
    <x v="2"/>
    <x v="3"/>
    <n v="56830"/>
    <n v="11366"/>
    <n v="1787"/>
    <n v="6819"/>
    <n v="1231"/>
    <n v="61933"/>
  </r>
  <r>
    <x v="180"/>
    <x v="82"/>
    <x v="4"/>
    <x v="4"/>
    <n v="57412"/>
    <n v="11482"/>
    <n v="3348"/>
    <n v="6889"/>
    <n v="696"/>
    <n v="64657"/>
  </r>
  <r>
    <x v="181"/>
    <x v="54"/>
    <x v="1"/>
    <x v="3"/>
    <n v="20587"/>
    <n v="4117"/>
    <n v="1219"/>
    <n v="2470"/>
    <n v="962"/>
    <n v="22491"/>
  </r>
  <r>
    <x v="182"/>
    <x v="52"/>
    <x v="5"/>
    <x v="3"/>
    <n v="53794"/>
    <n v="10758"/>
    <n v="2336"/>
    <n v="6455"/>
    <n v="2024"/>
    <n v="58409"/>
  </r>
  <r>
    <x v="183"/>
    <x v="83"/>
    <x v="0"/>
    <x v="2"/>
    <n v="43612"/>
    <n v="8722"/>
    <n v="3045"/>
    <n v="5233"/>
    <n v="1628"/>
    <n v="48518"/>
  </r>
  <r>
    <x v="184"/>
    <x v="66"/>
    <x v="0"/>
    <x v="4"/>
    <n v="44383"/>
    <n v="8876"/>
    <n v="3761"/>
    <n v="5325"/>
    <n v="2192"/>
    <n v="49503"/>
  </r>
  <r>
    <x v="185"/>
    <x v="84"/>
    <x v="2"/>
    <x v="4"/>
    <n v="51276"/>
    <n v="10255"/>
    <n v="1963"/>
    <n v="6153"/>
    <n v="581"/>
    <n v="56760"/>
  </r>
  <r>
    <x v="186"/>
    <x v="19"/>
    <x v="1"/>
    <x v="0"/>
    <n v="54652"/>
    <n v="10930"/>
    <n v="1502"/>
    <n v="6558"/>
    <n v="904"/>
    <n v="59622"/>
  </r>
  <r>
    <x v="187"/>
    <x v="49"/>
    <x v="3"/>
    <x v="4"/>
    <n v="58644"/>
    <n v="11728"/>
    <n v="1460"/>
    <n v="7037"/>
    <n v="2651"/>
    <n v="62144"/>
  </r>
  <r>
    <x v="188"/>
    <x v="70"/>
    <x v="1"/>
    <x v="0"/>
    <n v="44932"/>
    <n v="8986"/>
    <n v="3564"/>
    <n v="5391"/>
    <n v="1665"/>
    <n v="50426"/>
  </r>
  <r>
    <x v="189"/>
    <x v="49"/>
    <x v="2"/>
    <x v="4"/>
    <n v="48094"/>
    <n v="9618"/>
    <n v="4609"/>
    <n v="5771"/>
    <n v="890"/>
    <n v="55660"/>
  </r>
  <r>
    <x v="190"/>
    <x v="62"/>
    <x v="3"/>
    <x v="2"/>
    <n v="55690"/>
    <n v="11138"/>
    <n v="2908"/>
    <n v="6682"/>
    <n v="1016"/>
    <n v="62038"/>
  </r>
  <r>
    <x v="191"/>
    <x v="22"/>
    <x v="4"/>
    <x v="3"/>
    <n v="43682"/>
    <n v="8736"/>
    <n v="1092"/>
    <n v="5241"/>
    <n v="671"/>
    <n v="47598"/>
  </r>
  <r>
    <x v="192"/>
    <x v="85"/>
    <x v="5"/>
    <x v="2"/>
    <n v="45722"/>
    <n v="9144"/>
    <n v="1385"/>
    <n v="5486"/>
    <n v="2505"/>
    <n v="48260"/>
  </r>
  <r>
    <x v="193"/>
    <x v="50"/>
    <x v="2"/>
    <x v="3"/>
    <n v="44736"/>
    <n v="8947"/>
    <n v="1993"/>
    <n v="5368"/>
    <n v="2662"/>
    <n v="47646"/>
  </r>
  <r>
    <x v="194"/>
    <x v="80"/>
    <x v="4"/>
    <x v="1"/>
    <n v="20374"/>
    <n v="4074"/>
    <n v="3925"/>
    <n v="2444"/>
    <n v="1548"/>
    <n v="24381"/>
  </r>
  <r>
    <x v="195"/>
    <x v="86"/>
    <x v="2"/>
    <x v="0"/>
    <n v="23039"/>
    <n v="4607"/>
    <n v="2081"/>
    <n v="2764"/>
    <n v="1755"/>
    <n v="25208"/>
  </r>
  <r>
    <x v="196"/>
    <x v="57"/>
    <x v="4"/>
    <x v="1"/>
    <n v="36314"/>
    <n v="7262"/>
    <n v="1597"/>
    <n v="4357"/>
    <n v="653"/>
    <n v="40163"/>
  </r>
  <r>
    <x v="197"/>
    <x v="67"/>
    <x v="1"/>
    <x v="0"/>
    <n v="29950"/>
    <n v="5990"/>
    <n v="4887"/>
    <n v="3594"/>
    <n v="808"/>
    <n v="36425"/>
  </r>
  <r>
    <x v="198"/>
    <x v="35"/>
    <x v="5"/>
    <x v="3"/>
    <n v="40190"/>
    <n v="8038"/>
    <n v="1945"/>
    <n v="4822"/>
    <n v="2466"/>
    <n v="42885"/>
  </r>
  <r>
    <x v="199"/>
    <x v="38"/>
    <x v="2"/>
    <x v="2"/>
    <n v="40021"/>
    <n v="8004"/>
    <n v="2799"/>
    <n v="4802"/>
    <n v="509"/>
    <n v="455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I28:J35" firstHeaderRow="1" firstDataRow="1" firstDataCol="1"/>
  <pivotFields count="10">
    <pivotField showAll="0"/>
    <pivotField showAll="0"/>
    <pivotField axis="axisRow" showAll="0">
      <items count="7">
        <item x="5"/>
        <item x="1"/>
        <item x="4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HRA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B29:C36" firstHeaderRow="1" firstDataRow="1" firstDataCol="1"/>
  <pivotFields count="10">
    <pivotField showAll="0"/>
    <pivotField showAll="0"/>
    <pivotField axis="axisRow" showAll="0">
      <items count="7">
        <item x="5"/>
        <item x="1"/>
        <item x="4"/>
        <item x="2"/>
        <item x="0"/>
        <item x="3"/>
        <item t="default"/>
      </items>
    </pivotField>
    <pivotField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llowanc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O3:P10" firstHeaderRow="1" firstDataRow="1" firstDataCol="1"/>
  <pivotFields count="10">
    <pivotField showAll="0"/>
    <pivotField showAll="0"/>
    <pivotField axis="axisRow" showAll="0">
      <items count="7">
        <item x="5"/>
        <item x="1"/>
        <item x="4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eduction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I3:J10" firstHeaderRow="1" firstDataRow="1" firstDataCol="1"/>
  <pivotFields count="10">
    <pivotField showAll="0"/>
    <pivotField showAll="0"/>
    <pivotField axis="axisRow" showAll="0">
      <items count="7">
        <item x="5"/>
        <item x="1"/>
        <item x="4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Basic_Salar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0" firstHeaderRow="1" firstDataRow="1" firstDataCol="1"/>
  <pivotFields count="10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88">
        <item x="6"/>
        <item x="14"/>
        <item x="16"/>
        <item x="85"/>
        <item x="2"/>
        <item x="5"/>
        <item x="33"/>
        <item x="78"/>
        <item x="23"/>
        <item x="52"/>
        <item x="63"/>
        <item x="11"/>
        <item x="25"/>
        <item x="83"/>
        <item x="60"/>
        <item x="4"/>
        <item x="10"/>
        <item x="56"/>
        <item x="39"/>
        <item x="62"/>
        <item x="69"/>
        <item x="22"/>
        <item x="26"/>
        <item x="13"/>
        <item x="41"/>
        <item x="65"/>
        <item x="79"/>
        <item x="12"/>
        <item x="70"/>
        <item x="38"/>
        <item x="47"/>
        <item x="24"/>
        <item x="71"/>
        <item x="76"/>
        <item x="28"/>
        <item x="57"/>
        <item x="18"/>
        <item x="21"/>
        <item x="75"/>
        <item x="40"/>
        <item x="31"/>
        <item x="77"/>
        <item x="74"/>
        <item x="81"/>
        <item x="9"/>
        <item x="20"/>
        <item x="67"/>
        <item x="50"/>
        <item x="0"/>
        <item x="27"/>
        <item x="80"/>
        <item x="36"/>
        <item x="19"/>
        <item x="82"/>
        <item x="48"/>
        <item x="35"/>
        <item x="42"/>
        <item x="61"/>
        <item x="7"/>
        <item x="58"/>
        <item x="15"/>
        <item x="51"/>
        <item x="45"/>
        <item x="72"/>
        <item x="1"/>
        <item x="68"/>
        <item x="43"/>
        <item x="46"/>
        <item x="32"/>
        <item x="29"/>
        <item x="66"/>
        <item x="86"/>
        <item x="73"/>
        <item x="59"/>
        <item x="64"/>
        <item x="44"/>
        <item x="37"/>
        <item x="53"/>
        <item x="54"/>
        <item x="55"/>
        <item x="49"/>
        <item x="84"/>
        <item x="3"/>
        <item x="30"/>
        <item x="17"/>
        <item x="34"/>
        <item x="8"/>
        <item t="default"/>
      </items>
    </pivotField>
    <pivotField axis="axisRow" showAll="0">
      <items count="7">
        <item x="5"/>
        <item x="1"/>
        <item x="4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F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opLeftCell="A165" zoomScale="85" zoomScaleNormal="85" workbookViewId="0">
      <selection sqref="A1:J201"/>
    </sheetView>
  </sheetViews>
  <sheetFormatPr defaultRowHeight="14.4"/>
  <cols>
    <col min="1" max="1" width="11.77734375" bestFit="1" customWidth="1"/>
    <col min="2" max="2" width="15" bestFit="1" customWidth="1"/>
    <col min="3" max="3" width="10.77734375" bestFit="1" customWidth="1"/>
    <col min="4" max="4" width="14.44140625" bestFit="1" customWidth="1"/>
    <col min="5" max="5" width="11.109375" bestFit="1" customWidth="1"/>
    <col min="6" max="6" width="6" bestFit="1" customWidth="1"/>
    <col min="8" max="8" width="5" bestFit="1" customWidth="1"/>
    <col min="9" max="9" width="10.109375" bestFit="1" customWidth="1"/>
    <col min="10" max="10" width="9.88671875" bestFit="1" customWidth="1"/>
  </cols>
  <sheetData>
    <row r="1" spans="1:10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307</v>
      </c>
    </row>
    <row r="2" spans="1:10">
      <c r="A2" s="40" t="s">
        <v>9</v>
      </c>
      <c r="B2" s="40" t="s">
        <v>10</v>
      </c>
      <c r="C2" s="40" t="s">
        <v>11</v>
      </c>
      <c r="D2" s="40" t="s">
        <v>12</v>
      </c>
      <c r="E2" s="40">
        <v>26626</v>
      </c>
      <c r="F2" s="40">
        <v>5325</v>
      </c>
      <c r="G2" s="40">
        <v>2857</v>
      </c>
      <c r="H2" s="40">
        <v>3195</v>
      </c>
      <c r="I2" s="40">
        <v>589</v>
      </c>
      <c r="J2" s="40">
        <v>31024</v>
      </c>
    </row>
    <row r="3" spans="1:10">
      <c r="A3" s="40" t="s">
        <v>13</v>
      </c>
      <c r="B3" s="40" t="s">
        <v>14</v>
      </c>
      <c r="C3" s="40" t="s">
        <v>15</v>
      </c>
      <c r="D3" s="40" t="s">
        <v>16</v>
      </c>
      <c r="E3" s="40">
        <v>45503</v>
      </c>
      <c r="F3" s="40">
        <v>9100</v>
      </c>
      <c r="G3" s="40">
        <v>1843</v>
      </c>
      <c r="H3" s="40">
        <v>5460</v>
      </c>
      <c r="I3" s="40">
        <v>1552</v>
      </c>
      <c r="J3" s="40">
        <v>49434</v>
      </c>
    </row>
    <row r="4" spans="1:10">
      <c r="A4" s="40" t="s">
        <v>17</v>
      </c>
      <c r="B4" s="40" t="s">
        <v>18</v>
      </c>
      <c r="C4" s="40" t="s">
        <v>11</v>
      </c>
      <c r="D4" s="40" t="s">
        <v>16</v>
      </c>
      <c r="E4" s="40">
        <v>53938</v>
      </c>
      <c r="F4" s="40">
        <v>10787</v>
      </c>
      <c r="G4" s="40">
        <v>4851</v>
      </c>
      <c r="H4" s="40">
        <v>6472</v>
      </c>
      <c r="I4" s="40">
        <v>2058</v>
      </c>
      <c r="J4" s="40">
        <v>61046</v>
      </c>
    </row>
    <row r="5" spans="1:10">
      <c r="A5" s="40" t="s">
        <v>19</v>
      </c>
      <c r="B5" s="40" t="s">
        <v>20</v>
      </c>
      <c r="C5" s="40" t="s">
        <v>21</v>
      </c>
      <c r="D5" s="40" t="s">
        <v>22</v>
      </c>
      <c r="E5" s="40">
        <v>55165</v>
      </c>
      <c r="F5" s="40">
        <v>11033</v>
      </c>
      <c r="G5" s="40">
        <v>4218</v>
      </c>
      <c r="H5" s="40">
        <v>6619</v>
      </c>
      <c r="I5" s="40">
        <v>2129</v>
      </c>
      <c r="J5" s="40">
        <v>61668</v>
      </c>
    </row>
    <row r="6" spans="1:10">
      <c r="A6" s="40" t="s">
        <v>23</v>
      </c>
      <c r="B6" s="40" t="s">
        <v>24</v>
      </c>
      <c r="C6" s="40" t="s">
        <v>25</v>
      </c>
      <c r="D6" s="40" t="s">
        <v>12</v>
      </c>
      <c r="E6" s="40">
        <v>42292</v>
      </c>
      <c r="F6" s="40">
        <v>8458</v>
      </c>
      <c r="G6" s="40">
        <v>3707</v>
      </c>
      <c r="H6" s="40">
        <v>5075</v>
      </c>
      <c r="I6" s="40">
        <v>1107</v>
      </c>
      <c r="J6" s="40">
        <v>48275</v>
      </c>
    </row>
    <row r="7" spans="1:10">
      <c r="A7" s="40" t="s">
        <v>26</v>
      </c>
      <c r="B7" s="40" t="s">
        <v>27</v>
      </c>
      <c r="C7" s="40" t="s">
        <v>21</v>
      </c>
      <c r="D7" s="40" t="s">
        <v>28</v>
      </c>
      <c r="E7" s="40">
        <v>15728</v>
      </c>
      <c r="F7" s="40">
        <v>3145</v>
      </c>
      <c r="G7" s="40">
        <v>2392</v>
      </c>
      <c r="H7" s="40">
        <v>1887</v>
      </c>
      <c r="I7" s="40">
        <v>1556</v>
      </c>
      <c r="J7" s="40">
        <v>17822</v>
      </c>
    </row>
    <row r="8" spans="1:10">
      <c r="A8" s="40" t="s">
        <v>29</v>
      </c>
      <c r="B8" s="40" t="s">
        <v>30</v>
      </c>
      <c r="C8" s="40" t="s">
        <v>15</v>
      </c>
      <c r="D8" s="40" t="s">
        <v>28</v>
      </c>
      <c r="E8" s="40">
        <v>24044</v>
      </c>
      <c r="F8" s="40">
        <v>4808</v>
      </c>
      <c r="G8" s="40">
        <v>2353</v>
      </c>
      <c r="H8" s="40">
        <v>2885</v>
      </c>
      <c r="I8" s="40">
        <v>1826</v>
      </c>
      <c r="J8" s="40">
        <v>26494</v>
      </c>
    </row>
    <row r="9" spans="1:10">
      <c r="A9" s="40" t="s">
        <v>31</v>
      </c>
      <c r="B9" s="40" t="s">
        <v>32</v>
      </c>
      <c r="C9" s="40" t="s">
        <v>33</v>
      </c>
      <c r="D9" s="40" t="s">
        <v>16</v>
      </c>
      <c r="E9" s="40">
        <v>36407</v>
      </c>
      <c r="F9" s="40">
        <v>7281</v>
      </c>
      <c r="G9" s="40">
        <v>1132</v>
      </c>
      <c r="H9" s="40">
        <v>4368</v>
      </c>
      <c r="I9" s="40">
        <v>1272</v>
      </c>
      <c r="J9" s="40">
        <v>39180</v>
      </c>
    </row>
    <row r="10" spans="1:10">
      <c r="A10" s="40" t="s">
        <v>34</v>
      </c>
      <c r="B10" s="40" t="s">
        <v>35</v>
      </c>
      <c r="C10" s="40" t="s">
        <v>21</v>
      </c>
      <c r="D10" s="40" t="s">
        <v>36</v>
      </c>
      <c r="E10" s="40">
        <v>18268</v>
      </c>
      <c r="F10" s="40">
        <v>3653</v>
      </c>
      <c r="G10" s="40">
        <v>4479</v>
      </c>
      <c r="H10" s="40">
        <v>2192</v>
      </c>
      <c r="I10" s="40">
        <v>2026</v>
      </c>
      <c r="J10" s="40">
        <v>22182</v>
      </c>
    </row>
    <row r="11" spans="1:10">
      <c r="A11" s="40" t="s">
        <v>37</v>
      </c>
      <c r="B11" s="40" t="s">
        <v>38</v>
      </c>
      <c r="C11" s="40" t="s">
        <v>21</v>
      </c>
      <c r="D11" s="40" t="s">
        <v>12</v>
      </c>
      <c r="E11" s="40">
        <v>44721</v>
      </c>
      <c r="F11" s="40">
        <v>8944</v>
      </c>
      <c r="G11" s="40">
        <v>3217</v>
      </c>
      <c r="H11" s="40">
        <v>5366</v>
      </c>
      <c r="I11" s="40">
        <v>2620</v>
      </c>
      <c r="J11" s="40">
        <v>48896</v>
      </c>
    </row>
    <row r="12" spans="1:10">
      <c r="A12" s="40" t="s">
        <v>39</v>
      </c>
      <c r="B12" s="40" t="s">
        <v>40</v>
      </c>
      <c r="C12" s="40" t="s">
        <v>15</v>
      </c>
      <c r="D12" s="40" t="s">
        <v>12</v>
      </c>
      <c r="E12" s="40">
        <v>54259</v>
      </c>
      <c r="F12" s="40">
        <v>10851</v>
      </c>
      <c r="G12" s="40">
        <v>1009</v>
      </c>
      <c r="H12" s="40">
        <v>6511</v>
      </c>
      <c r="I12" s="40">
        <v>2363</v>
      </c>
      <c r="J12" s="40">
        <v>57245</v>
      </c>
    </row>
    <row r="13" spans="1:10">
      <c r="A13" s="40" t="s">
        <v>41</v>
      </c>
      <c r="B13" s="40" t="s">
        <v>42</v>
      </c>
      <c r="C13" s="40" t="s">
        <v>21</v>
      </c>
      <c r="D13" s="40" t="s">
        <v>16</v>
      </c>
      <c r="E13" s="40">
        <v>44325</v>
      </c>
      <c r="F13" s="40">
        <v>8865</v>
      </c>
      <c r="G13" s="40">
        <v>1916</v>
      </c>
      <c r="H13" s="40">
        <v>5319</v>
      </c>
      <c r="I13" s="40">
        <v>886</v>
      </c>
      <c r="J13" s="40">
        <v>48901</v>
      </c>
    </row>
    <row r="14" spans="1:10">
      <c r="A14" s="40" t="s">
        <v>43</v>
      </c>
      <c r="B14" s="40" t="s">
        <v>44</v>
      </c>
      <c r="C14" s="40" t="s">
        <v>33</v>
      </c>
      <c r="D14" s="40" t="s">
        <v>22</v>
      </c>
      <c r="E14" s="40">
        <v>50686</v>
      </c>
      <c r="F14" s="40">
        <v>10137</v>
      </c>
      <c r="G14" s="40">
        <v>2700</v>
      </c>
      <c r="H14" s="40">
        <v>6082</v>
      </c>
      <c r="I14" s="40">
        <v>1471</v>
      </c>
      <c r="J14" s="40">
        <v>55970</v>
      </c>
    </row>
    <row r="15" spans="1:10">
      <c r="A15" s="40" t="s">
        <v>45</v>
      </c>
      <c r="B15" s="40" t="s">
        <v>46</v>
      </c>
      <c r="C15" s="40" t="s">
        <v>15</v>
      </c>
      <c r="D15" s="40" t="s">
        <v>16</v>
      </c>
      <c r="E15" s="40">
        <v>21346</v>
      </c>
      <c r="F15" s="40">
        <v>4269</v>
      </c>
      <c r="G15" s="40">
        <v>4073</v>
      </c>
      <c r="H15" s="40">
        <v>2561</v>
      </c>
      <c r="I15" s="40">
        <v>2792</v>
      </c>
      <c r="J15" s="40">
        <v>24335</v>
      </c>
    </row>
    <row r="16" spans="1:10">
      <c r="A16" s="40" t="s">
        <v>47</v>
      </c>
      <c r="B16" s="40" t="s">
        <v>48</v>
      </c>
      <c r="C16" s="40" t="s">
        <v>49</v>
      </c>
      <c r="D16" s="40" t="s">
        <v>28</v>
      </c>
      <c r="E16" s="40">
        <v>44944</v>
      </c>
      <c r="F16" s="40">
        <v>8988</v>
      </c>
      <c r="G16" s="40">
        <v>4629</v>
      </c>
      <c r="H16" s="40">
        <v>5393</v>
      </c>
      <c r="I16" s="40">
        <v>2498</v>
      </c>
      <c r="J16" s="40">
        <v>50670</v>
      </c>
    </row>
    <row r="17" spans="1:10">
      <c r="A17" s="40" t="s">
        <v>50</v>
      </c>
      <c r="B17" s="40" t="s">
        <v>51</v>
      </c>
      <c r="C17" s="40" t="s">
        <v>11</v>
      </c>
      <c r="D17" s="40" t="s">
        <v>36</v>
      </c>
      <c r="E17" s="40">
        <v>18649</v>
      </c>
      <c r="F17" s="40">
        <v>3729</v>
      </c>
      <c r="G17" s="40">
        <v>3494</v>
      </c>
      <c r="H17" s="40">
        <v>2237</v>
      </c>
      <c r="I17" s="40">
        <v>1826</v>
      </c>
      <c r="J17" s="40">
        <v>21809</v>
      </c>
    </row>
    <row r="18" spans="1:10">
      <c r="A18" s="40" t="s">
        <v>52</v>
      </c>
      <c r="B18" s="40" t="s">
        <v>35</v>
      </c>
      <c r="C18" s="40" t="s">
        <v>11</v>
      </c>
      <c r="D18" s="40" t="s">
        <v>16</v>
      </c>
      <c r="E18" s="40">
        <v>53156</v>
      </c>
      <c r="F18" s="40">
        <v>10631</v>
      </c>
      <c r="G18" s="40">
        <v>4251</v>
      </c>
      <c r="H18" s="40">
        <v>6378</v>
      </c>
      <c r="I18" s="40">
        <v>2976</v>
      </c>
      <c r="J18" s="40">
        <v>58684</v>
      </c>
    </row>
    <row r="19" spans="1:10">
      <c r="A19" s="40" t="s">
        <v>53</v>
      </c>
      <c r="B19" s="40" t="s">
        <v>54</v>
      </c>
      <c r="C19" s="40" t="s">
        <v>33</v>
      </c>
      <c r="D19" s="40" t="s">
        <v>36</v>
      </c>
      <c r="E19" s="40">
        <v>59466</v>
      </c>
      <c r="F19" s="40">
        <v>11893</v>
      </c>
      <c r="G19" s="40">
        <v>2332</v>
      </c>
      <c r="H19" s="40">
        <v>7135</v>
      </c>
      <c r="I19" s="40">
        <v>1604</v>
      </c>
      <c r="J19" s="40">
        <v>64952</v>
      </c>
    </row>
    <row r="20" spans="1:10">
      <c r="A20" s="40" t="s">
        <v>55</v>
      </c>
      <c r="B20" s="40" t="s">
        <v>56</v>
      </c>
      <c r="C20" s="40" t="s">
        <v>33</v>
      </c>
      <c r="D20" s="40" t="s">
        <v>12</v>
      </c>
      <c r="E20" s="40">
        <v>52561</v>
      </c>
      <c r="F20" s="40">
        <v>10512</v>
      </c>
      <c r="G20" s="40">
        <v>1437</v>
      </c>
      <c r="H20" s="40">
        <v>6307</v>
      </c>
      <c r="I20" s="40">
        <v>2006</v>
      </c>
      <c r="J20" s="40">
        <v>56197</v>
      </c>
    </row>
    <row r="21" spans="1:10">
      <c r="A21" s="40" t="s">
        <v>57</v>
      </c>
      <c r="B21" s="40" t="s">
        <v>58</v>
      </c>
      <c r="C21" s="40" t="s">
        <v>25</v>
      </c>
      <c r="D21" s="40" t="s">
        <v>12</v>
      </c>
      <c r="E21" s="40">
        <v>59566</v>
      </c>
      <c r="F21" s="40">
        <v>11913</v>
      </c>
      <c r="G21" s="40">
        <v>2393</v>
      </c>
      <c r="H21" s="40">
        <v>7147</v>
      </c>
      <c r="I21" s="40">
        <v>2473</v>
      </c>
      <c r="J21" s="40">
        <v>64252</v>
      </c>
    </row>
    <row r="22" spans="1:10">
      <c r="A22" s="40" t="s">
        <v>59</v>
      </c>
      <c r="B22" s="40" t="s">
        <v>60</v>
      </c>
      <c r="C22" s="40" t="s">
        <v>33</v>
      </c>
      <c r="D22" s="40" t="s">
        <v>16</v>
      </c>
      <c r="E22" s="40">
        <v>58194</v>
      </c>
      <c r="F22" s="40">
        <v>11638</v>
      </c>
      <c r="G22" s="40">
        <v>3214</v>
      </c>
      <c r="H22" s="40">
        <v>6983</v>
      </c>
      <c r="I22" s="40">
        <v>2659</v>
      </c>
      <c r="J22" s="40">
        <v>63404</v>
      </c>
    </row>
    <row r="23" spans="1:10">
      <c r="A23" s="40" t="s">
        <v>61</v>
      </c>
      <c r="B23" s="40" t="s">
        <v>62</v>
      </c>
      <c r="C23" s="40" t="s">
        <v>11</v>
      </c>
      <c r="D23" s="40" t="s">
        <v>36</v>
      </c>
      <c r="E23" s="40">
        <v>28614</v>
      </c>
      <c r="F23" s="40">
        <v>5722</v>
      </c>
      <c r="G23" s="40">
        <v>4201</v>
      </c>
      <c r="H23" s="40">
        <v>3433</v>
      </c>
      <c r="I23" s="40">
        <v>900</v>
      </c>
      <c r="J23" s="40">
        <v>34204</v>
      </c>
    </row>
    <row r="24" spans="1:10">
      <c r="A24" s="40" t="s">
        <v>63</v>
      </c>
      <c r="B24" s="40" t="s">
        <v>64</v>
      </c>
      <c r="C24" s="40" t="s">
        <v>21</v>
      </c>
      <c r="D24" s="40" t="s">
        <v>22</v>
      </c>
      <c r="E24" s="40">
        <v>57939</v>
      </c>
      <c r="F24" s="40">
        <v>11587</v>
      </c>
      <c r="G24" s="40">
        <v>2009</v>
      </c>
      <c r="H24" s="40">
        <v>6952</v>
      </c>
      <c r="I24" s="40">
        <v>2705</v>
      </c>
      <c r="J24" s="40">
        <v>61878</v>
      </c>
    </row>
    <row r="25" spans="1:10">
      <c r="A25" s="40" t="s">
        <v>65</v>
      </c>
      <c r="B25" s="40" t="s">
        <v>44</v>
      </c>
      <c r="C25" s="40" t="s">
        <v>11</v>
      </c>
      <c r="D25" s="40" t="s">
        <v>36</v>
      </c>
      <c r="E25" s="40">
        <v>30807</v>
      </c>
      <c r="F25" s="40">
        <v>6161</v>
      </c>
      <c r="G25" s="40">
        <v>4281</v>
      </c>
      <c r="H25" s="40">
        <v>3696</v>
      </c>
      <c r="I25" s="40">
        <v>2285</v>
      </c>
      <c r="J25" s="40">
        <v>35268</v>
      </c>
    </row>
    <row r="26" spans="1:10">
      <c r="A26" s="40" t="s">
        <v>66</v>
      </c>
      <c r="B26" s="40" t="s">
        <v>67</v>
      </c>
      <c r="C26" s="40" t="s">
        <v>15</v>
      </c>
      <c r="D26" s="40" t="s">
        <v>16</v>
      </c>
      <c r="E26" s="40">
        <v>42127</v>
      </c>
      <c r="F26" s="40">
        <v>8425</v>
      </c>
      <c r="G26" s="40">
        <v>2541</v>
      </c>
      <c r="H26" s="40">
        <v>5055</v>
      </c>
      <c r="I26" s="40">
        <v>2058</v>
      </c>
      <c r="J26" s="40">
        <v>45980</v>
      </c>
    </row>
    <row r="27" spans="1:10">
      <c r="A27" s="40" t="s">
        <v>68</v>
      </c>
      <c r="B27" s="40" t="s">
        <v>69</v>
      </c>
      <c r="C27" s="40" t="s">
        <v>33</v>
      </c>
      <c r="D27" s="40" t="s">
        <v>36</v>
      </c>
      <c r="E27" s="40">
        <v>56883</v>
      </c>
      <c r="F27" s="40">
        <v>11376</v>
      </c>
      <c r="G27" s="40">
        <v>2773</v>
      </c>
      <c r="H27" s="40">
        <v>6825</v>
      </c>
      <c r="I27" s="40">
        <v>2679</v>
      </c>
      <c r="J27" s="40">
        <v>61528</v>
      </c>
    </row>
    <row r="28" spans="1:10">
      <c r="A28" s="40" t="s">
        <v>70</v>
      </c>
      <c r="B28" s="40" t="s">
        <v>71</v>
      </c>
      <c r="C28" s="40" t="s">
        <v>11</v>
      </c>
      <c r="D28" s="40" t="s">
        <v>28</v>
      </c>
      <c r="E28" s="40">
        <v>58854</v>
      </c>
      <c r="F28" s="40">
        <v>11770</v>
      </c>
      <c r="G28" s="40">
        <v>2337</v>
      </c>
      <c r="H28" s="40">
        <v>7062</v>
      </c>
      <c r="I28" s="40">
        <v>1153</v>
      </c>
      <c r="J28" s="40">
        <v>64746</v>
      </c>
    </row>
    <row r="29" spans="1:10">
      <c r="A29" s="40" t="s">
        <v>72</v>
      </c>
      <c r="B29" s="40" t="s">
        <v>73</v>
      </c>
      <c r="C29" s="40" t="s">
        <v>15</v>
      </c>
      <c r="D29" s="40" t="s">
        <v>28</v>
      </c>
      <c r="E29" s="40">
        <v>19071</v>
      </c>
      <c r="F29" s="40">
        <v>3814</v>
      </c>
      <c r="G29" s="40">
        <v>4441</v>
      </c>
      <c r="H29" s="40">
        <v>2288</v>
      </c>
      <c r="I29" s="40">
        <v>1464</v>
      </c>
      <c r="J29" s="40">
        <v>23574</v>
      </c>
    </row>
    <row r="30" spans="1:10">
      <c r="A30" s="40" t="s">
        <v>74</v>
      </c>
      <c r="B30" s="40" t="s">
        <v>62</v>
      </c>
      <c r="C30" s="40" t="s">
        <v>49</v>
      </c>
      <c r="D30" s="40" t="s">
        <v>36</v>
      </c>
      <c r="E30" s="40">
        <v>18278</v>
      </c>
      <c r="F30" s="40">
        <v>3655</v>
      </c>
      <c r="G30" s="40">
        <v>4149</v>
      </c>
      <c r="H30" s="40">
        <v>2193</v>
      </c>
      <c r="I30" s="40">
        <v>1944</v>
      </c>
      <c r="J30" s="40">
        <v>21945</v>
      </c>
    </row>
    <row r="31" spans="1:10">
      <c r="A31" s="40" t="s">
        <v>75</v>
      </c>
      <c r="B31" s="40" t="s">
        <v>64</v>
      </c>
      <c r="C31" s="40" t="s">
        <v>33</v>
      </c>
      <c r="D31" s="40" t="s">
        <v>36</v>
      </c>
      <c r="E31" s="40">
        <v>17050</v>
      </c>
      <c r="F31" s="40">
        <v>3410</v>
      </c>
      <c r="G31" s="40">
        <v>2485</v>
      </c>
      <c r="H31" s="40">
        <v>2046</v>
      </c>
      <c r="I31" s="40">
        <v>1141</v>
      </c>
      <c r="J31" s="40">
        <v>19758</v>
      </c>
    </row>
    <row r="32" spans="1:10">
      <c r="A32" s="40" t="s">
        <v>76</v>
      </c>
      <c r="B32" s="40" t="s">
        <v>77</v>
      </c>
      <c r="C32" s="40" t="s">
        <v>15</v>
      </c>
      <c r="D32" s="40" t="s">
        <v>12</v>
      </c>
      <c r="E32" s="40">
        <v>51234</v>
      </c>
      <c r="F32" s="40">
        <v>10246</v>
      </c>
      <c r="G32" s="40">
        <v>3535</v>
      </c>
      <c r="H32" s="40">
        <v>6148</v>
      </c>
      <c r="I32" s="40">
        <v>2453</v>
      </c>
      <c r="J32" s="40">
        <v>56414</v>
      </c>
    </row>
    <row r="33" spans="1:10">
      <c r="A33" s="40" t="s">
        <v>78</v>
      </c>
      <c r="B33" s="40" t="s">
        <v>79</v>
      </c>
      <c r="C33" s="40" t="s">
        <v>49</v>
      </c>
      <c r="D33" s="40" t="s">
        <v>36</v>
      </c>
      <c r="E33" s="40">
        <v>51981</v>
      </c>
      <c r="F33" s="40">
        <v>10396</v>
      </c>
      <c r="G33" s="40">
        <v>1887</v>
      </c>
      <c r="H33" s="40">
        <v>6237</v>
      </c>
      <c r="I33" s="40">
        <v>1021</v>
      </c>
      <c r="J33" s="40">
        <v>57006</v>
      </c>
    </row>
    <row r="34" spans="1:10">
      <c r="A34" s="40" t="s">
        <v>80</v>
      </c>
      <c r="B34" s="40" t="s">
        <v>81</v>
      </c>
      <c r="C34" s="40" t="s">
        <v>25</v>
      </c>
      <c r="D34" s="40" t="s">
        <v>28</v>
      </c>
      <c r="E34" s="40">
        <v>41660</v>
      </c>
      <c r="F34" s="40">
        <v>8332</v>
      </c>
      <c r="G34" s="40">
        <v>4060</v>
      </c>
      <c r="H34" s="40">
        <v>4999</v>
      </c>
      <c r="I34" s="40">
        <v>2211</v>
      </c>
      <c r="J34" s="40">
        <v>46842</v>
      </c>
    </row>
    <row r="35" spans="1:10">
      <c r="A35" s="40" t="s">
        <v>82</v>
      </c>
      <c r="B35" s="40" t="s">
        <v>83</v>
      </c>
      <c r="C35" s="40" t="s">
        <v>49</v>
      </c>
      <c r="D35" s="40" t="s">
        <v>16</v>
      </c>
      <c r="E35" s="40">
        <v>20162</v>
      </c>
      <c r="F35" s="40">
        <v>4032</v>
      </c>
      <c r="G35" s="40">
        <v>4304</v>
      </c>
      <c r="H35" s="40">
        <v>2419</v>
      </c>
      <c r="I35" s="40">
        <v>1175</v>
      </c>
      <c r="J35" s="40">
        <v>24904</v>
      </c>
    </row>
    <row r="36" spans="1:10">
      <c r="A36" s="40" t="s">
        <v>84</v>
      </c>
      <c r="B36" s="40" t="s">
        <v>85</v>
      </c>
      <c r="C36" s="40" t="s">
        <v>15</v>
      </c>
      <c r="D36" s="40" t="s">
        <v>28</v>
      </c>
      <c r="E36" s="40">
        <v>32418</v>
      </c>
      <c r="F36" s="40">
        <v>6483</v>
      </c>
      <c r="G36" s="40">
        <v>4095</v>
      </c>
      <c r="H36" s="40">
        <v>3890</v>
      </c>
      <c r="I36" s="40">
        <v>860</v>
      </c>
      <c r="J36" s="40">
        <v>38246</v>
      </c>
    </row>
    <row r="37" spans="1:10">
      <c r="A37" s="40" t="s">
        <v>86</v>
      </c>
      <c r="B37" s="40" t="s">
        <v>87</v>
      </c>
      <c r="C37" s="40" t="s">
        <v>15</v>
      </c>
      <c r="D37" s="40" t="s">
        <v>16</v>
      </c>
      <c r="E37" s="40">
        <v>54719</v>
      </c>
      <c r="F37" s="40">
        <v>10943</v>
      </c>
      <c r="G37" s="40">
        <v>2180</v>
      </c>
      <c r="H37" s="40">
        <v>6566</v>
      </c>
      <c r="I37" s="40">
        <v>2410</v>
      </c>
      <c r="J37" s="40">
        <v>58866</v>
      </c>
    </row>
    <row r="38" spans="1:10">
      <c r="A38" s="40" t="s">
        <v>88</v>
      </c>
      <c r="B38" s="40" t="s">
        <v>30</v>
      </c>
      <c r="C38" s="40" t="s">
        <v>21</v>
      </c>
      <c r="D38" s="40" t="s">
        <v>28</v>
      </c>
      <c r="E38" s="40">
        <v>48630</v>
      </c>
      <c r="F38" s="40">
        <v>9726</v>
      </c>
      <c r="G38" s="40">
        <v>1584</v>
      </c>
      <c r="H38" s="40">
        <v>5835</v>
      </c>
      <c r="I38" s="40">
        <v>2042</v>
      </c>
      <c r="J38" s="40">
        <v>52063</v>
      </c>
    </row>
    <row r="39" spans="1:10">
      <c r="A39" s="40" t="s">
        <v>89</v>
      </c>
      <c r="B39" s="40" t="s">
        <v>77</v>
      </c>
      <c r="C39" s="40" t="s">
        <v>49</v>
      </c>
      <c r="D39" s="40" t="s">
        <v>36</v>
      </c>
      <c r="E39" s="40">
        <v>19887</v>
      </c>
      <c r="F39" s="40">
        <v>3977</v>
      </c>
      <c r="G39" s="40">
        <v>4132</v>
      </c>
      <c r="H39" s="40">
        <v>2386</v>
      </c>
      <c r="I39" s="40">
        <v>1698</v>
      </c>
      <c r="J39" s="40">
        <v>23912</v>
      </c>
    </row>
    <row r="40" spans="1:10">
      <c r="A40" s="40" t="s">
        <v>90</v>
      </c>
      <c r="B40" s="40" t="s">
        <v>91</v>
      </c>
      <c r="C40" s="40" t="s">
        <v>11</v>
      </c>
      <c r="D40" s="40" t="s">
        <v>36</v>
      </c>
      <c r="E40" s="40">
        <v>30856</v>
      </c>
      <c r="F40" s="40">
        <v>6171</v>
      </c>
      <c r="G40" s="40">
        <v>4916</v>
      </c>
      <c r="H40" s="40">
        <v>3702</v>
      </c>
      <c r="I40" s="40">
        <v>670</v>
      </c>
      <c r="J40" s="40">
        <v>37571</v>
      </c>
    </row>
    <row r="41" spans="1:10">
      <c r="A41" s="40" t="s">
        <v>92</v>
      </c>
      <c r="B41" s="40" t="s">
        <v>93</v>
      </c>
      <c r="C41" s="40" t="s">
        <v>11</v>
      </c>
      <c r="D41" s="40" t="s">
        <v>16</v>
      </c>
      <c r="E41" s="40">
        <v>25645</v>
      </c>
      <c r="F41" s="40">
        <v>5129</v>
      </c>
      <c r="G41" s="40">
        <v>3679</v>
      </c>
      <c r="H41" s="40">
        <v>3077</v>
      </c>
      <c r="I41" s="40">
        <v>1318</v>
      </c>
      <c r="J41" s="40">
        <v>30058</v>
      </c>
    </row>
    <row r="42" spans="1:10">
      <c r="A42" s="40" t="s">
        <v>94</v>
      </c>
      <c r="B42" s="40" t="s">
        <v>95</v>
      </c>
      <c r="C42" s="40" t="s">
        <v>33</v>
      </c>
      <c r="D42" s="40" t="s">
        <v>36</v>
      </c>
      <c r="E42" s="40">
        <v>57521</v>
      </c>
      <c r="F42" s="40">
        <v>11504</v>
      </c>
      <c r="G42" s="40">
        <v>4002</v>
      </c>
      <c r="H42" s="40">
        <v>6902</v>
      </c>
      <c r="I42" s="40">
        <v>1251</v>
      </c>
      <c r="J42" s="40">
        <v>64874</v>
      </c>
    </row>
    <row r="43" spans="1:10">
      <c r="A43" s="40" t="s">
        <v>96</v>
      </c>
      <c r="B43" s="40" t="s">
        <v>97</v>
      </c>
      <c r="C43" s="40" t="s">
        <v>15</v>
      </c>
      <c r="D43" s="40" t="s">
        <v>22</v>
      </c>
      <c r="E43" s="40">
        <v>50770</v>
      </c>
      <c r="F43" s="40">
        <v>10154</v>
      </c>
      <c r="G43" s="40">
        <v>4829</v>
      </c>
      <c r="H43" s="40">
        <v>6092</v>
      </c>
      <c r="I43" s="40">
        <v>1054</v>
      </c>
      <c r="J43" s="40">
        <v>58607</v>
      </c>
    </row>
    <row r="44" spans="1:10">
      <c r="A44" s="40" t="s">
        <v>98</v>
      </c>
      <c r="B44" s="40" t="s">
        <v>27</v>
      </c>
      <c r="C44" s="40" t="s">
        <v>21</v>
      </c>
      <c r="D44" s="40" t="s">
        <v>16</v>
      </c>
      <c r="E44" s="40">
        <v>21748</v>
      </c>
      <c r="F44" s="40">
        <v>4349</v>
      </c>
      <c r="G44" s="40">
        <v>2199</v>
      </c>
      <c r="H44" s="40">
        <v>2609</v>
      </c>
      <c r="I44" s="40">
        <v>2438</v>
      </c>
      <c r="J44" s="40">
        <v>23249</v>
      </c>
    </row>
    <row r="45" spans="1:10">
      <c r="A45" s="40" t="s">
        <v>99</v>
      </c>
      <c r="B45" s="40" t="s">
        <v>100</v>
      </c>
      <c r="C45" s="40" t="s">
        <v>49</v>
      </c>
      <c r="D45" s="40" t="s">
        <v>16</v>
      </c>
      <c r="E45" s="40">
        <v>43679</v>
      </c>
      <c r="F45" s="40">
        <v>8735</v>
      </c>
      <c r="G45" s="40">
        <v>4135</v>
      </c>
      <c r="H45" s="40">
        <v>5241</v>
      </c>
      <c r="I45" s="40">
        <v>536</v>
      </c>
      <c r="J45" s="40">
        <v>50772</v>
      </c>
    </row>
    <row r="46" spans="1:10">
      <c r="A46" s="40" t="s">
        <v>101</v>
      </c>
      <c r="B46" s="40" t="s">
        <v>102</v>
      </c>
      <c r="C46" s="40" t="s">
        <v>21</v>
      </c>
      <c r="D46" s="40" t="s">
        <v>12</v>
      </c>
      <c r="E46" s="40">
        <v>32609</v>
      </c>
      <c r="F46" s="40">
        <v>6521</v>
      </c>
      <c r="G46" s="40">
        <v>1997</v>
      </c>
      <c r="H46" s="40">
        <v>3913</v>
      </c>
      <c r="I46" s="40">
        <v>992</v>
      </c>
      <c r="J46" s="40">
        <v>36222</v>
      </c>
    </row>
    <row r="47" spans="1:10">
      <c r="A47" s="40" t="s">
        <v>103</v>
      </c>
      <c r="B47" s="40" t="s">
        <v>104</v>
      </c>
      <c r="C47" s="40" t="s">
        <v>15</v>
      </c>
      <c r="D47" s="40" t="s">
        <v>28</v>
      </c>
      <c r="E47" s="40">
        <v>54060</v>
      </c>
      <c r="F47" s="40">
        <v>10812</v>
      </c>
      <c r="G47" s="40">
        <v>2221</v>
      </c>
      <c r="H47" s="40">
        <v>6487</v>
      </c>
      <c r="I47" s="40">
        <v>1182</v>
      </c>
      <c r="J47" s="40">
        <v>59424</v>
      </c>
    </row>
    <row r="48" spans="1:10">
      <c r="A48" s="40" t="s">
        <v>105</v>
      </c>
      <c r="B48" s="40" t="s">
        <v>62</v>
      </c>
      <c r="C48" s="40" t="s">
        <v>25</v>
      </c>
      <c r="D48" s="40" t="s">
        <v>16</v>
      </c>
      <c r="E48" s="40">
        <v>44200</v>
      </c>
      <c r="F48" s="40">
        <v>8840</v>
      </c>
      <c r="G48" s="40">
        <v>4872</v>
      </c>
      <c r="H48" s="40">
        <v>5304</v>
      </c>
      <c r="I48" s="40">
        <v>2688</v>
      </c>
      <c r="J48" s="40">
        <v>49920</v>
      </c>
    </row>
    <row r="49" spans="1:10">
      <c r="A49" s="40" t="s">
        <v>106</v>
      </c>
      <c r="B49" s="40" t="s">
        <v>107</v>
      </c>
      <c r="C49" s="40" t="s">
        <v>11</v>
      </c>
      <c r="D49" s="40" t="s">
        <v>36</v>
      </c>
      <c r="E49" s="40">
        <v>30724</v>
      </c>
      <c r="F49" s="40">
        <v>6144</v>
      </c>
      <c r="G49" s="40">
        <v>4851</v>
      </c>
      <c r="H49" s="40">
        <v>3686</v>
      </c>
      <c r="I49" s="40">
        <v>2066</v>
      </c>
      <c r="J49" s="40">
        <v>35967</v>
      </c>
    </row>
    <row r="50" spans="1:10">
      <c r="A50" s="40" t="s">
        <v>108</v>
      </c>
      <c r="B50" s="40" t="s">
        <v>109</v>
      </c>
      <c r="C50" s="40" t="s">
        <v>21</v>
      </c>
      <c r="D50" s="40" t="s">
        <v>12</v>
      </c>
      <c r="E50" s="40">
        <v>17539</v>
      </c>
      <c r="F50" s="40">
        <v>3507</v>
      </c>
      <c r="G50" s="40">
        <v>4041</v>
      </c>
      <c r="H50" s="40">
        <v>2104</v>
      </c>
      <c r="I50" s="40">
        <v>2416</v>
      </c>
      <c r="J50" s="40">
        <v>20567</v>
      </c>
    </row>
    <row r="51" spans="1:10">
      <c r="A51" s="40" t="s">
        <v>110</v>
      </c>
      <c r="B51" s="40" t="s">
        <v>111</v>
      </c>
      <c r="C51" s="40" t="s">
        <v>25</v>
      </c>
      <c r="D51" s="40" t="s">
        <v>36</v>
      </c>
      <c r="E51" s="40">
        <v>51211</v>
      </c>
      <c r="F51" s="40">
        <v>10242</v>
      </c>
      <c r="G51" s="40">
        <v>2705</v>
      </c>
      <c r="H51" s="40">
        <v>6145</v>
      </c>
      <c r="I51" s="40">
        <v>2720</v>
      </c>
      <c r="J51" s="40">
        <v>55293</v>
      </c>
    </row>
    <row r="52" spans="1:10">
      <c r="A52" s="40" t="s">
        <v>112</v>
      </c>
      <c r="B52" s="40" t="s">
        <v>104</v>
      </c>
      <c r="C52" s="40" t="s">
        <v>21</v>
      </c>
      <c r="D52" s="40" t="s">
        <v>22</v>
      </c>
      <c r="E52" s="40">
        <v>30658</v>
      </c>
      <c r="F52" s="40">
        <v>6131</v>
      </c>
      <c r="G52" s="40">
        <v>2409</v>
      </c>
      <c r="H52" s="40">
        <v>3678</v>
      </c>
      <c r="I52" s="40">
        <v>739</v>
      </c>
      <c r="J52" s="40">
        <v>34781</v>
      </c>
    </row>
    <row r="53" spans="1:10">
      <c r="A53" s="40" t="s">
        <v>113</v>
      </c>
      <c r="B53" s="40" t="s">
        <v>60</v>
      </c>
      <c r="C53" s="40" t="s">
        <v>49</v>
      </c>
      <c r="D53" s="40" t="s">
        <v>16</v>
      </c>
      <c r="E53" s="40">
        <v>40674</v>
      </c>
      <c r="F53" s="40">
        <v>8134</v>
      </c>
      <c r="G53" s="40">
        <v>3415</v>
      </c>
      <c r="H53" s="40">
        <v>4880</v>
      </c>
      <c r="I53" s="40">
        <v>1469</v>
      </c>
      <c r="J53" s="40">
        <v>45874</v>
      </c>
    </row>
    <row r="54" spans="1:10">
      <c r="A54" s="40" t="s">
        <v>114</v>
      </c>
      <c r="B54" s="40" t="s">
        <v>115</v>
      </c>
      <c r="C54" s="40" t="s">
        <v>49</v>
      </c>
      <c r="D54" s="40" t="s">
        <v>16</v>
      </c>
      <c r="E54" s="40">
        <v>26912</v>
      </c>
      <c r="F54" s="40">
        <v>5382</v>
      </c>
      <c r="G54" s="40">
        <v>1473</v>
      </c>
      <c r="H54" s="40">
        <v>3229</v>
      </c>
      <c r="I54" s="40">
        <v>1554</v>
      </c>
      <c r="J54" s="40">
        <v>28984</v>
      </c>
    </row>
    <row r="55" spans="1:10">
      <c r="A55" s="40" t="s">
        <v>116</v>
      </c>
      <c r="B55" s="40" t="s">
        <v>117</v>
      </c>
      <c r="C55" s="40" t="s">
        <v>25</v>
      </c>
      <c r="D55" s="40" t="s">
        <v>16</v>
      </c>
      <c r="E55" s="40">
        <v>29020</v>
      </c>
      <c r="F55" s="40">
        <v>5804</v>
      </c>
      <c r="G55" s="40">
        <v>3205</v>
      </c>
      <c r="H55" s="40">
        <v>3482</v>
      </c>
      <c r="I55" s="40">
        <v>1075</v>
      </c>
      <c r="J55" s="40">
        <v>33472</v>
      </c>
    </row>
    <row r="56" spans="1:10">
      <c r="A56" s="40" t="s">
        <v>118</v>
      </c>
      <c r="B56" s="40" t="s">
        <v>97</v>
      </c>
      <c r="C56" s="40" t="s">
        <v>21</v>
      </c>
      <c r="D56" s="40" t="s">
        <v>16</v>
      </c>
      <c r="E56" s="40">
        <v>20988</v>
      </c>
      <c r="F56" s="40">
        <v>4197</v>
      </c>
      <c r="G56" s="40">
        <v>2074</v>
      </c>
      <c r="H56" s="40">
        <v>2518</v>
      </c>
      <c r="I56" s="40">
        <v>1458</v>
      </c>
      <c r="J56" s="40">
        <v>23283</v>
      </c>
    </row>
    <row r="57" spans="1:10">
      <c r="A57" s="40" t="s">
        <v>119</v>
      </c>
      <c r="B57" s="40" t="s">
        <v>120</v>
      </c>
      <c r="C57" s="40" t="s">
        <v>49</v>
      </c>
      <c r="D57" s="40" t="s">
        <v>36</v>
      </c>
      <c r="E57" s="40">
        <v>54111</v>
      </c>
      <c r="F57" s="40">
        <v>10822</v>
      </c>
      <c r="G57" s="40">
        <v>1421</v>
      </c>
      <c r="H57" s="40">
        <v>6493</v>
      </c>
      <c r="I57" s="40">
        <v>2036</v>
      </c>
      <c r="J57" s="40">
        <v>57825</v>
      </c>
    </row>
    <row r="58" spans="1:10">
      <c r="A58" s="40" t="s">
        <v>121</v>
      </c>
      <c r="B58" s="40" t="s">
        <v>102</v>
      </c>
      <c r="C58" s="40" t="s">
        <v>25</v>
      </c>
      <c r="D58" s="40" t="s">
        <v>36</v>
      </c>
      <c r="E58" s="40">
        <v>52525</v>
      </c>
      <c r="F58" s="40">
        <v>10505</v>
      </c>
      <c r="G58" s="40">
        <v>3471</v>
      </c>
      <c r="H58" s="40">
        <v>6303</v>
      </c>
      <c r="I58" s="40">
        <v>1078</v>
      </c>
      <c r="J58" s="40">
        <v>59120</v>
      </c>
    </row>
    <row r="59" spans="1:10">
      <c r="A59" s="40" t="s">
        <v>122</v>
      </c>
      <c r="B59" s="40" t="s">
        <v>123</v>
      </c>
      <c r="C59" s="40" t="s">
        <v>49</v>
      </c>
      <c r="D59" s="40" t="s">
        <v>12</v>
      </c>
      <c r="E59" s="40">
        <v>57368</v>
      </c>
      <c r="F59" s="40">
        <v>11473</v>
      </c>
      <c r="G59" s="40">
        <v>4545</v>
      </c>
      <c r="H59" s="40">
        <v>6884</v>
      </c>
      <c r="I59" s="40">
        <v>1099</v>
      </c>
      <c r="J59" s="40">
        <v>65403</v>
      </c>
    </row>
    <row r="60" spans="1:10">
      <c r="A60" s="40" t="s">
        <v>124</v>
      </c>
      <c r="B60" s="40" t="s">
        <v>60</v>
      </c>
      <c r="C60" s="40" t="s">
        <v>11</v>
      </c>
      <c r="D60" s="40" t="s">
        <v>36</v>
      </c>
      <c r="E60" s="40">
        <v>16498</v>
      </c>
      <c r="F60" s="40">
        <v>3299</v>
      </c>
      <c r="G60" s="40">
        <v>1938</v>
      </c>
      <c r="H60" s="40">
        <v>1979</v>
      </c>
      <c r="I60" s="40">
        <v>2190</v>
      </c>
      <c r="J60" s="40">
        <v>17566</v>
      </c>
    </row>
    <row r="61" spans="1:10">
      <c r="A61" s="40" t="s">
        <v>125</v>
      </c>
      <c r="B61" s="40" t="s">
        <v>126</v>
      </c>
      <c r="C61" s="40" t="s">
        <v>15</v>
      </c>
      <c r="D61" s="40" t="s">
        <v>22</v>
      </c>
      <c r="E61" s="40">
        <v>38201</v>
      </c>
      <c r="F61" s="40">
        <v>7640</v>
      </c>
      <c r="G61" s="40">
        <v>1201</v>
      </c>
      <c r="H61" s="40">
        <v>4584</v>
      </c>
      <c r="I61" s="40">
        <v>2087</v>
      </c>
      <c r="J61" s="40">
        <v>40371</v>
      </c>
    </row>
    <row r="62" spans="1:10">
      <c r="A62" s="40" t="s">
        <v>127</v>
      </c>
      <c r="B62" s="40" t="s">
        <v>128</v>
      </c>
      <c r="C62" s="40" t="s">
        <v>15</v>
      </c>
      <c r="D62" s="40" t="s">
        <v>36</v>
      </c>
      <c r="E62" s="40">
        <v>42021</v>
      </c>
      <c r="F62" s="40">
        <v>8404</v>
      </c>
      <c r="G62" s="40">
        <v>1994</v>
      </c>
      <c r="H62" s="40">
        <v>5042</v>
      </c>
      <c r="I62" s="40">
        <v>1731</v>
      </c>
      <c r="J62" s="40">
        <v>45646</v>
      </c>
    </row>
    <row r="63" spans="1:10">
      <c r="A63" s="40" t="s">
        <v>129</v>
      </c>
      <c r="B63" s="40" t="s">
        <v>130</v>
      </c>
      <c r="C63" s="40" t="s">
        <v>21</v>
      </c>
      <c r="D63" s="40" t="s">
        <v>22</v>
      </c>
      <c r="E63" s="40">
        <v>33525</v>
      </c>
      <c r="F63" s="40">
        <v>6705</v>
      </c>
      <c r="G63" s="40">
        <v>4894</v>
      </c>
      <c r="H63" s="40">
        <v>4023</v>
      </c>
      <c r="I63" s="40">
        <v>956</v>
      </c>
      <c r="J63" s="40">
        <v>40145</v>
      </c>
    </row>
    <row r="64" spans="1:10">
      <c r="A64" s="40" t="s">
        <v>131</v>
      </c>
      <c r="B64" s="40" t="s">
        <v>46</v>
      </c>
      <c r="C64" s="40" t="s">
        <v>49</v>
      </c>
      <c r="D64" s="40" t="s">
        <v>12</v>
      </c>
      <c r="E64" s="40">
        <v>51010</v>
      </c>
      <c r="F64" s="40">
        <v>10202</v>
      </c>
      <c r="G64" s="40">
        <v>2212</v>
      </c>
      <c r="H64" s="40">
        <v>6121</v>
      </c>
      <c r="I64" s="40">
        <v>1171</v>
      </c>
      <c r="J64" s="40">
        <v>56132</v>
      </c>
    </row>
    <row r="65" spans="1:10">
      <c r="A65" s="40" t="s">
        <v>132</v>
      </c>
      <c r="B65" s="40" t="s">
        <v>133</v>
      </c>
      <c r="C65" s="40" t="s">
        <v>21</v>
      </c>
      <c r="D65" s="40" t="s">
        <v>36</v>
      </c>
      <c r="E65" s="40">
        <v>44575</v>
      </c>
      <c r="F65" s="40">
        <v>8915</v>
      </c>
      <c r="G65" s="40">
        <v>2575</v>
      </c>
      <c r="H65" s="40">
        <v>5349</v>
      </c>
      <c r="I65" s="40">
        <v>1152</v>
      </c>
      <c r="J65" s="40">
        <v>49564</v>
      </c>
    </row>
    <row r="66" spans="1:10">
      <c r="A66" s="40" t="s">
        <v>134</v>
      </c>
      <c r="B66" s="40" t="s">
        <v>135</v>
      </c>
      <c r="C66" s="40" t="s">
        <v>11</v>
      </c>
      <c r="D66" s="40" t="s">
        <v>12</v>
      </c>
      <c r="E66" s="40">
        <v>17674</v>
      </c>
      <c r="F66" s="40">
        <v>3534</v>
      </c>
      <c r="G66" s="40">
        <v>3605</v>
      </c>
      <c r="H66" s="40">
        <v>2120</v>
      </c>
      <c r="I66" s="40">
        <v>666</v>
      </c>
      <c r="J66" s="40">
        <v>22027</v>
      </c>
    </row>
    <row r="67" spans="1:10">
      <c r="A67" s="40" t="s">
        <v>136</v>
      </c>
      <c r="B67" s="40" t="s">
        <v>130</v>
      </c>
      <c r="C67" s="40" t="s">
        <v>21</v>
      </c>
      <c r="D67" s="40" t="s">
        <v>22</v>
      </c>
      <c r="E67" s="40">
        <v>52585</v>
      </c>
      <c r="F67" s="40">
        <v>10517</v>
      </c>
      <c r="G67" s="40">
        <v>3584</v>
      </c>
      <c r="H67" s="40">
        <v>6310</v>
      </c>
      <c r="I67" s="40">
        <v>2562</v>
      </c>
      <c r="J67" s="40">
        <v>57814</v>
      </c>
    </row>
    <row r="68" spans="1:10">
      <c r="A68" s="40" t="s">
        <v>137</v>
      </c>
      <c r="B68" s="40" t="s">
        <v>138</v>
      </c>
      <c r="C68" s="40" t="s">
        <v>49</v>
      </c>
      <c r="D68" s="40" t="s">
        <v>16</v>
      </c>
      <c r="E68" s="40">
        <v>55834</v>
      </c>
      <c r="F68" s="40">
        <v>11166</v>
      </c>
      <c r="G68" s="40">
        <v>1370</v>
      </c>
      <c r="H68" s="40">
        <v>6700</v>
      </c>
      <c r="I68" s="40">
        <v>1376</v>
      </c>
      <c r="J68" s="40">
        <v>60294</v>
      </c>
    </row>
    <row r="69" spans="1:10">
      <c r="A69" s="40" t="s">
        <v>139</v>
      </c>
      <c r="B69" s="40" t="s">
        <v>140</v>
      </c>
      <c r="C69" s="40" t="s">
        <v>49</v>
      </c>
      <c r="D69" s="40" t="s">
        <v>12</v>
      </c>
      <c r="E69" s="40">
        <v>48349</v>
      </c>
      <c r="F69" s="40">
        <v>9669</v>
      </c>
      <c r="G69" s="40">
        <v>3919</v>
      </c>
      <c r="H69" s="40">
        <v>5801</v>
      </c>
      <c r="I69" s="40">
        <v>2752</v>
      </c>
      <c r="J69" s="40">
        <v>53384</v>
      </c>
    </row>
    <row r="70" spans="1:10">
      <c r="A70" s="40" t="s">
        <v>141</v>
      </c>
      <c r="B70" s="40" t="s">
        <v>123</v>
      </c>
      <c r="C70" s="40" t="s">
        <v>15</v>
      </c>
      <c r="D70" s="40" t="s">
        <v>28</v>
      </c>
      <c r="E70" s="40">
        <v>18075</v>
      </c>
      <c r="F70" s="40">
        <v>3615</v>
      </c>
      <c r="G70" s="40">
        <v>2987</v>
      </c>
      <c r="H70" s="40">
        <v>2169</v>
      </c>
      <c r="I70" s="40">
        <v>2015</v>
      </c>
      <c r="J70" s="40">
        <v>20493</v>
      </c>
    </row>
    <row r="71" spans="1:10">
      <c r="A71" s="40" t="s">
        <v>142</v>
      </c>
      <c r="B71" s="40" t="s">
        <v>143</v>
      </c>
      <c r="C71" s="40" t="s">
        <v>33</v>
      </c>
      <c r="D71" s="40" t="s">
        <v>28</v>
      </c>
      <c r="E71" s="40">
        <v>56480</v>
      </c>
      <c r="F71" s="40">
        <v>11296</v>
      </c>
      <c r="G71" s="40">
        <v>3958</v>
      </c>
      <c r="H71" s="40">
        <v>6777</v>
      </c>
      <c r="I71" s="40">
        <v>1462</v>
      </c>
      <c r="J71" s="40">
        <v>63495</v>
      </c>
    </row>
    <row r="72" spans="1:10">
      <c r="A72" s="40" t="s">
        <v>144</v>
      </c>
      <c r="B72" s="40" t="s">
        <v>77</v>
      </c>
      <c r="C72" s="40" t="s">
        <v>25</v>
      </c>
      <c r="D72" s="40" t="s">
        <v>22</v>
      </c>
      <c r="E72" s="40">
        <v>56798</v>
      </c>
      <c r="F72" s="40">
        <v>11359</v>
      </c>
      <c r="G72" s="40">
        <v>1242</v>
      </c>
      <c r="H72" s="40">
        <v>6815</v>
      </c>
      <c r="I72" s="40">
        <v>2070</v>
      </c>
      <c r="J72" s="40">
        <v>60514</v>
      </c>
    </row>
    <row r="73" spans="1:10">
      <c r="A73" s="40" t="s">
        <v>145</v>
      </c>
      <c r="B73" s="40" t="s">
        <v>73</v>
      </c>
      <c r="C73" s="40" t="s">
        <v>33</v>
      </c>
      <c r="D73" s="40" t="s">
        <v>16</v>
      </c>
      <c r="E73" s="40">
        <v>34501</v>
      </c>
      <c r="F73" s="40">
        <v>6900</v>
      </c>
      <c r="G73" s="40">
        <v>4965</v>
      </c>
      <c r="H73" s="40">
        <v>4140</v>
      </c>
      <c r="I73" s="40">
        <v>2673</v>
      </c>
      <c r="J73" s="40">
        <v>39553</v>
      </c>
    </row>
    <row r="74" spans="1:10">
      <c r="A74" s="40" t="s">
        <v>146</v>
      </c>
      <c r="B74" s="40" t="s">
        <v>128</v>
      </c>
      <c r="C74" s="40" t="s">
        <v>49</v>
      </c>
      <c r="D74" s="40" t="s">
        <v>36</v>
      </c>
      <c r="E74" s="40">
        <v>38040</v>
      </c>
      <c r="F74" s="40">
        <v>7608</v>
      </c>
      <c r="G74" s="40">
        <v>1592</v>
      </c>
      <c r="H74" s="40">
        <v>4564</v>
      </c>
      <c r="I74" s="40">
        <v>2341</v>
      </c>
      <c r="J74" s="40">
        <v>40335</v>
      </c>
    </row>
    <row r="75" spans="1:10">
      <c r="A75" s="40" t="s">
        <v>147</v>
      </c>
      <c r="B75" s="40" t="s">
        <v>64</v>
      </c>
      <c r="C75" s="40" t="s">
        <v>25</v>
      </c>
      <c r="D75" s="40" t="s">
        <v>12</v>
      </c>
      <c r="E75" s="40">
        <v>37103</v>
      </c>
      <c r="F75" s="40">
        <v>7420</v>
      </c>
      <c r="G75" s="40">
        <v>4410</v>
      </c>
      <c r="H75" s="40">
        <v>4452</v>
      </c>
      <c r="I75" s="40">
        <v>2633</v>
      </c>
      <c r="J75" s="40">
        <v>41848</v>
      </c>
    </row>
    <row r="76" spans="1:10">
      <c r="A76" s="40" t="s">
        <v>148</v>
      </c>
      <c r="B76" s="40" t="s">
        <v>149</v>
      </c>
      <c r="C76" s="40" t="s">
        <v>15</v>
      </c>
      <c r="D76" s="40" t="s">
        <v>36</v>
      </c>
      <c r="E76" s="40">
        <v>26869</v>
      </c>
      <c r="F76" s="40">
        <v>5373</v>
      </c>
      <c r="G76" s="40">
        <v>1912</v>
      </c>
      <c r="H76" s="40">
        <v>3224</v>
      </c>
      <c r="I76" s="40">
        <v>931</v>
      </c>
      <c r="J76" s="40">
        <v>29999</v>
      </c>
    </row>
    <row r="77" spans="1:10">
      <c r="A77" s="40" t="s">
        <v>150</v>
      </c>
      <c r="B77" s="40" t="s">
        <v>85</v>
      </c>
      <c r="C77" s="40" t="s">
        <v>15</v>
      </c>
      <c r="D77" s="40" t="s">
        <v>36</v>
      </c>
      <c r="E77" s="40">
        <v>48105</v>
      </c>
      <c r="F77" s="40">
        <v>9621</v>
      </c>
      <c r="G77" s="40">
        <v>2692</v>
      </c>
      <c r="H77" s="40">
        <v>5772</v>
      </c>
      <c r="I77" s="40">
        <v>1164</v>
      </c>
      <c r="J77" s="40">
        <v>53482</v>
      </c>
    </row>
    <row r="78" spans="1:10">
      <c r="A78" s="40" t="s">
        <v>151</v>
      </c>
      <c r="B78" s="40" t="s">
        <v>152</v>
      </c>
      <c r="C78" s="40" t="s">
        <v>49</v>
      </c>
      <c r="D78" s="40" t="s">
        <v>28</v>
      </c>
      <c r="E78" s="40">
        <v>41221</v>
      </c>
      <c r="F78" s="40">
        <v>8244</v>
      </c>
      <c r="G78" s="40">
        <v>2197</v>
      </c>
      <c r="H78" s="40">
        <v>4946</v>
      </c>
      <c r="I78" s="40">
        <v>1358</v>
      </c>
      <c r="J78" s="40">
        <v>45358</v>
      </c>
    </row>
    <row r="79" spans="1:10">
      <c r="A79" s="40" t="s">
        <v>153</v>
      </c>
      <c r="B79" s="40" t="s">
        <v>133</v>
      </c>
      <c r="C79" s="40" t="s">
        <v>33</v>
      </c>
      <c r="D79" s="40" t="s">
        <v>36</v>
      </c>
      <c r="E79" s="40">
        <v>16076</v>
      </c>
      <c r="F79" s="40">
        <v>3215</v>
      </c>
      <c r="G79" s="40">
        <v>1339</v>
      </c>
      <c r="H79" s="40">
        <v>1929</v>
      </c>
      <c r="I79" s="40">
        <v>2840</v>
      </c>
      <c r="J79" s="40">
        <v>15861</v>
      </c>
    </row>
    <row r="80" spans="1:10">
      <c r="A80" s="40" t="s">
        <v>154</v>
      </c>
      <c r="B80" s="40" t="s">
        <v>135</v>
      </c>
      <c r="C80" s="40" t="s">
        <v>15</v>
      </c>
      <c r="D80" s="40" t="s">
        <v>28</v>
      </c>
      <c r="E80" s="40">
        <v>56132</v>
      </c>
      <c r="F80" s="40">
        <v>11226</v>
      </c>
      <c r="G80" s="40">
        <v>2431</v>
      </c>
      <c r="H80" s="40">
        <v>6735</v>
      </c>
      <c r="I80" s="40">
        <v>1442</v>
      </c>
      <c r="J80" s="40">
        <v>61612</v>
      </c>
    </row>
    <row r="81" spans="1:10">
      <c r="A81" s="40" t="s">
        <v>155</v>
      </c>
      <c r="B81" s="40" t="s">
        <v>156</v>
      </c>
      <c r="C81" s="40" t="s">
        <v>25</v>
      </c>
      <c r="D81" s="40" t="s">
        <v>28</v>
      </c>
      <c r="E81" s="40">
        <v>15286</v>
      </c>
      <c r="F81" s="40">
        <v>3057</v>
      </c>
      <c r="G81" s="40">
        <v>4506</v>
      </c>
      <c r="H81" s="40">
        <v>1834</v>
      </c>
      <c r="I81" s="40">
        <v>570</v>
      </c>
      <c r="J81" s="40">
        <v>20445</v>
      </c>
    </row>
    <row r="82" spans="1:10">
      <c r="A82" s="40" t="s">
        <v>157</v>
      </c>
      <c r="B82" s="40" t="s">
        <v>79</v>
      </c>
      <c r="C82" s="40" t="s">
        <v>11</v>
      </c>
      <c r="D82" s="40" t="s">
        <v>16</v>
      </c>
      <c r="E82" s="40">
        <v>32139</v>
      </c>
      <c r="F82" s="40">
        <v>6427</v>
      </c>
      <c r="G82" s="40">
        <v>3713</v>
      </c>
      <c r="H82" s="40">
        <v>3856</v>
      </c>
      <c r="I82" s="40">
        <v>910</v>
      </c>
      <c r="J82" s="40">
        <v>37513</v>
      </c>
    </row>
    <row r="83" spans="1:10">
      <c r="A83" s="40" t="s">
        <v>158</v>
      </c>
      <c r="B83" s="40" t="s">
        <v>64</v>
      </c>
      <c r="C83" s="40" t="s">
        <v>11</v>
      </c>
      <c r="D83" s="40" t="s">
        <v>22</v>
      </c>
      <c r="E83" s="40">
        <v>31439</v>
      </c>
      <c r="F83" s="40">
        <v>6287</v>
      </c>
      <c r="G83" s="40">
        <v>1512</v>
      </c>
      <c r="H83" s="40">
        <v>3772</v>
      </c>
      <c r="I83" s="40">
        <v>2270</v>
      </c>
      <c r="J83" s="40">
        <v>33196</v>
      </c>
    </row>
    <row r="84" spans="1:10">
      <c r="A84" s="40" t="s">
        <v>159</v>
      </c>
      <c r="B84" s="40" t="s">
        <v>160</v>
      </c>
      <c r="C84" s="40" t="s">
        <v>11</v>
      </c>
      <c r="D84" s="40" t="s">
        <v>12</v>
      </c>
      <c r="E84" s="40">
        <v>42176</v>
      </c>
      <c r="F84" s="40">
        <v>8435</v>
      </c>
      <c r="G84" s="40">
        <v>4593</v>
      </c>
      <c r="H84" s="40">
        <v>5061</v>
      </c>
      <c r="I84" s="40">
        <v>1076</v>
      </c>
      <c r="J84" s="40">
        <v>49067</v>
      </c>
    </row>
    <row r="85" spans="1:10">
      <c r="A85" s="40" t="s">
        <v>161</v>
      </c>
      <c r="B85" s="40" t="s">
        <v>126</v>
      </c>
      <c r="C85" s="40" t="s">
        <v>49</v>
      </c>
      <c r="D85" s="40" t="s">
        <v>36</v>
      </c>
      <c r="E85" s="40">
        <v>54289</v>
      </c>
      <c r="F85" s="40">
        <v>10857</v>
      </c>
      <c r="G85" s="40">
        <v>3198</v>
      </c>
      <c r="H85" s="40">
        <v>6514</v>
      </c>
      <c r="I85" s="40">
        <v>1227</v>
      </c>
      <c r="J85" s="40">
        <v>60603</v>
      </c>
    </row>
    <row r="86" spans="1:10">
      <c r="A86" s="40" t="s">
        <v>162</v>
      </c>
      <c r="B86" s="40" t="s">
        <v>126</v>
      </c>
      <c r="C86" s="40" t="s">
        <v>11</v>
      </c>
      <c r="D86" s="40" t="s">
        <v>28</v>
      </c>
      <c r="E86" s="40">
        <v>54471</v>
      </c>
      <c r="F86" s="40">
        <v>10894</v>
      </c>
      <c r="G86" s="40">
        <v>2484</v>
      </c>
      <c r="H86" s="40">
        <v>6536</v>
      </c>
      <c r="I86" s="40">
        <v>1698</v>
      </c>
      <c r="J86" s="40">
        <v>59615</v>
      </c>
    </row>
    <row r="87" spans="1:10">
      <c r="A87" s="40" t="s">
        <v>163</v>
      </c>
      <c r="B87" s="40" t="s">
        <v>164</v>
      </c>
      <c r="C87" s="40" t="s">
        <v>33</v>
      </c>
      <c r="D87" s="40" t="s">
        <v>22</v>
      </c>
      <c r="E87" s="40">
        <v>36150</v>
      </c>
      <c r="F87" s="40">
        <v>7230</v>
      </c>
      <c r="G87" s="40">
        <v>2366</v>
      </c>
      <c r="H87" s="40">
        <v>4338</v>
      </c>
      <c r="I87" s="40">
        <v>2735</v>
      </c>
      <c r="J87" s="40">
        <v>38673</v>
      </c>
    </row>
    <row r="88" spans="1:10">
      <c r="A88" s="40" t="s">
        <v>165</v>
      </c>
      <c r="B88" s="40" t="s">
        <v>93</v>
      </c>
      <c r="C88" s="40" t="s">
        <v>49</v>
      </c>
      <c r="D88" s="40" t="s">
        <v>16</v>
      </c>
      <c r="E88" s="40">
        <v>48995</v>
      </c>
      <c r="F88" s="40">
        <v>9799</v>
      </c>
      <c r="G88" s="40">
        <v>1268</v>
      </c>
      <c r="H88" s="40">
        <v>5879</v>
      </c>
      <c r="I88" s="40">
        <v>2577</v>
      </c>
      <c r="J88" s="40">
        <v>51606</v>
      </c>
    </row>
    <row r="89" spans="1:10">
      <c r="A89" s="40" t="s">
        <v>166</v>
      </c>
      <c r="B89" s="40" t="s">
        <v>167</v>
      </c>
      <c r="C89" s="40" t="s">
        <v>25</v>
      </c>
      <c r="D89" s="40" t="s">
        <v>36</v>
      </c>
      <c r="E89" s="40">
        <v>52666</v>
      </c>
      <c r="F89" s="40">
        <v>10533</v>
      </c>
      <c r="G89" s="40">
        <v>2438</v>
      </c>
      <c r="H89" s="40">
        <v>6319</v>
      </c>
      <c r="I89" s="40">
        <v>879</v>
      </c>
      <c r="J89" s="40">
        <v>58439</v>
      </c>
    </row>
    <row r="90" spans="1:10">
      <c r="A90" s="40" t="s">
        <v>168</v>
      </c>
      <c r="B90" s="40" t="s">
        <v>169</v>
      </c>
      <c r="C90" s="40" t="s">
        <v>25</v>
      </c>
      <c r="D90" s="40" t="s">
        <v>28</v>
      </c>
      <c r="E90" s="40">
        <v>35729</v>
      </c>
      <c r="F90" s="40">
        <v>7145</v>
      </c>
      <c r="G90" s="40">
        <v>1426</v>
      </c>
      <c r="H90" s="40">
        <v>4287</v>
      </c>
      <c r="I90" s="40">
        <v>1016</v>
      </c>
      <c r="J90" s="40">
        <v>38997</v>
      </c>
    </row>
    <row r="91" spans="1:10">
      <c r="A91" s="40" t="s">
        <v>170</v>
      </c>
      <c r="B91" s="40" t="s">
        <v>171</v>
      </c>
      <c r="C91" s="40" t="s">
        <v>11</v>
      </c>
      <c r="D91" s="40" t="s">
        <v>12</v>
      </c>
      <c r="E91" s="40">
        <v>41591</v>
      </c>
      <c r="F91" s="40">
        <v>8318</v>
      </c>
      <c r="G91" s="40">
        <v>3044</v>
      </c>
      <c r="H91" s="40">
        <v>4990</v>
      </c>
      <c r="I91" s="40">
        <v>2036</v>
      </c>
      <c r="J91" s="40">
        <v>45927</v>
      </c>
    </row>
    <row r="92" spans="1:10">
      <c r="A92" s="40" t="s">
        <v>172</v>
      </c>
      <c r="B92" s="40" t="s">
        <v>120</v>
      </c>
      <c r="C92" s="40" t="s">
        <v>25</v>
      </c>
      <c r="D92" s="40" t="s">
        <v>12</v>
      </c>
      <c r="E92" s="40">
        <v>31101</v>
      </c>
      <c r="F92" s="40">
        <v>6220</v>
      </c>
      <c r="G92" s="40">
        <v>2879</v>
      </c>
      <c r="H92" s="40">
        <v>3732</v>
      </c>
      <c r="I92" s="40">
        <v>2180</v>
      </c>
      <c r="J92" s="40">
        <v>34288</v>
      </c>
    </row>
    <row r="93" spans="1:10">
      <c r="A93" s="40" t="s">
        <v>173</v>
      </c>
      <c r="B93" s="40" t="s">
        <v>174</v>
      </c>
      <c r="C93" s="40" t="s">
        <v>11</v>
      </c>
      <c r="D93" s="40" t="s">
        <v>22</v>
      </c>
      <c r="E93" s="40">
        <v>30885</v>
      </c>
      <c r="F93" s="40">
        <v>6177</v>
      </c>
      <c r="G93" s="40">
        <v>3569</v>
      </c>
      <c r="H93" s="40">
        <v>3706</v>
      </c>
      <c r="I93" s="40">
        <v>1282</v>
      </c>
      <c r="J93" s="40">
        <v>35643</v>
      </c>
    </row>
    <row r="94" spans="1:10">
      <c r="A94" s="40" t="s">
        <v>175</v>
      </c>
      <c r="B94" s="40" t="s">
        <v>14</v>
      </c>
      <c r="C94" s="40" t="s">
        <v>49</v>
      </c>
      <c r="D94" s="40" t="s">
        <v>28</v>
      </c>
      <c r="E94" s="40">
        <v>22996</v>
      </c>
      <c r="F94" s="40">
        <v>4599</v>
      </c>
      <c r="G94" s="40">
        <v>3051</v>
      </c>
      <c r="H94" s="40">
        <v>2759</v>
      </c>
      <c r="I94" s="40">
        <v>1526</v>
      </c>
      <c r="J94" s="40">
        <v>26361</v>
      </c>
    </row>
    <row r="95" spans="1:10">
      <c r="A95" s="40" t="s">
        <v>176</v>
      </c>
      <c r="B95" s="40" t="s">
        <v>177</v>
      </c>
      <c r="C95" s="40" t="s">
        <v>25</v>
      </c>
      <c r="D95" s="40" t="s">
        <v>22</v>
      </c>
      <c r="E95" s="40">
        <v>58043</v>
      </c>
      <c r="F95" s="40">
        <v>11608</v>
      </c>
      <c r="G95" s="40">
        <v>1712</v>
      </c>
      <c r="H95" s="40">
        <v>6965</v>
      </c>
      <c r="I95" s="40">
        <v>1681</v>
      </c>
      <c r="J95" s="40">
        <v>62717</v>
      </c>
    </row>
    <row r="96" spans="1:10">
      <c r="A96" s="40" t="s">
        <v>178</v>
      </c>
      <c r="B96" s="40" t="s">
        <v>35</v>
      </c>
      <c r="C96" s="40" t="s">
        <v>33</v>
      </c>
      <c r="D96" s="40" t="s">
        <v>12</v>
      </c>
      <c r="E96" s="40">
        <v>28476</v>
      </c>
      <c r="F96" s="40">
        <v>5695</v>
      </c>
      <c r="G96" s="40">
        <v>1392</v>
      </c>
      <c r="H96" s="40">
        <v>3417</v>
      </c>
      <c r="I96" s="40">
        <v>1717</v>
      </c>
      <c r="J96" s="40">
        <v>30429</v>
      </c>
    </row>
    <row r="97" spans="1:10">
      <c r="A97" s="40" t="s">
        <v>179</v>
      </c>
      <c r="B97" s="40" t="s">
        <v>83</v>
      </c>
      <c r="C97" s="40" t="s">
        <v>15</v>
      </c>
      <c r="D97" s="40" t="s">
        <v>36</v>
      </c>
      <c r="E97" s="40">
        <v>38431</v>
      </c>
      <c r="F97" s="40">
        <v>7686</v>
      </c>
      <c r="G97" s="40">
        <v>4114</v>
      </c>
      <c r="H97" s="40">
        <v>4611</v>
      </c>
      <c r="I97" s="40">
        <v>851</v>
      </c>
      <c r="J97" s="40">
        <v>44769</v>
      </c>
    </row>
    <row r="98" spans="1:10">
      <c r="A98" s="40" t="s">
        <v>180</v>
      </c>
      <c r="B98" s="40" t="s">
        <v>14</v>
      </c>
      <c r="C98" s="40" t="s">
        <v>11</v>
      </c>
      <c r="D98" s="40" t="s">
        <v>22</v>
      </c>
      <c r="E98" s="40">
        <v>29188</v>
      </c>
      <c r="F98" s="40">
        <v>5837</v>
      </c>
      <c r="G98" s="40">
        <v>4273</v>
      </c>
      <c r="H98" s="40">
        <v>3502</v>
      </c>
      <c r="I98" s="40">
        <v>1652</v>
      </c>
      <c r="J98" s="40">
        <v>34144</v>
      </c>
    </row>
    <row r="99" spans="1:10">
      <c r="A99" s="40" t="s">
        <v>181</v>
      </c>
      <c r="B99" s="40" t="s">
        <v>18</v>
      </c>
      <c r="C99" s="40" t="s">
        <v>21</v>
      </c>
      <c r="D99" s="40" t="s">
        <v>22</v>
      </c>
      <c r="E99" s="40">
        <v>43936</v>
      </c>
      <c r="F99" s="40">
        <v>8787</v>
      </c>
      <c r="G99" s="40">
        <v>4077</v>
      </c>
      <c r="H99" s="40">
        <v>5272</v>
      </c>
      <c r="I99" s="40">
        <v>1354</v>
      </c>
      <c r="J99" s="40">
        <v>50174</v>
      </c>
    </row>
    <row r="100" spans="1:10">
      <c r="A100" s="40" t="s">
        <v>182</v>
      </c>
      <c r="B100" s="40" t="s">
        <v>14</v>
      </c>
      <c r="C100" s="40" t="s">
        <v>11</v>
      </c>
      <c r="D100" s="40" t="s">
        <v>28</v>
      </c>
      <c r="E100" s="40">
        <v>42088</v>
      </c>
      <c r="F100" s="40">
        <v>8417</v>
      </c>
      <c r="G100" s="40">
        <v>3212</v>
      </c>
      <c r="H100" s="40">
        <v>5050</v>
      </c>
      <c r="I100" s="40">
        <v>1880</v>
      </c>
      <c r="J100" s="40">
        <v>46787</v>
      </c>
    </row>
    <row r="101" spans="1:10">
      <c r="A101" s="40" t="s">
        <v>183</v>
      </c>
      <c r="B101" s="40" t="s">
        <v>184</v>
      </c>
      <c r="C101" s="40" t="s">
        <v>15</v>
      </c>
      <c r="D101" s="40" t="s">
        <v>12</v>
      </c>
      <c r="E101" s="40">
        <v>33275</v>
      </c>
      <c r="F101" s="40">
        <v>6655</v>
      </c>
      <c r="G101" s="40">
        <v>3400</v>
      </c>
      <c r="H101" s="40">
        <v>3993</v>
      </c>
      <c r="I101" s="40">
        <v>892</v>
      </c>
      <c r="J101" s="40">
        <v>38445</v>
      </c>
    </row>
    <row r="102" spans="1:10">
      <c r="A102" s="40" t="s">
        <v>185</v>
      </c>
      <c r="B102" s="40" t="s">
        <v>152</v>
      </c>
      <c r="C102" s="40" t="s">
        <v>15</v>
      </c>
      <c r="D102" s="40" t="s">
        <v>12</v>
      </c>
      <c r="E102" s="40">
        <v>36840</v>
      </c>
      <c r="F102" s="40">
        <v>7368</v>
      </c>
      <c r="G102" s="40">
        <v>1566</v>
      </c>
      <c r="H102" s="40">
        <v>4420</v>
      </c>
      <c r="I102" s="40">
        <v>951</v>
      </c>
      <c r="J102" s="40">
        <v>40403</v>
      </c>
    </row>
    <row r="103" spans="1:10">
      <c r="A103" s="40" t="s">
        <v>186</v>
      </c>
      <c r="B103" s="40" t="s">
        <v>187</v>
      </c>
      <c r="C103" s="40" t="s">
        <v>25</v>
      </c>
      <c r="D103" s="40" t="s">
        <v>36</v>
      </c>
      <c r="E103" s="40">
        <v>23879</v>
      </c>
      <c r="F103" s="40">
        <v>4775</v>
      </c>
      <c r="G103" s="40">
        <v>3648</v>
      </c>
      <c r="H103" s="40">
        <v>2865</v>
      </c>
      <c r="I103" s="40">
        <v>2560</v>
      </c>
      <c r="J103" s="40">
        <v>26877</v>
      </c>
    </row>
    <row r="104" spans="1:10">
      <c r="A104" s="40" t="s">
        <v>188</v>
      </c>
      <c r="B104" s="40" t="s">
        <v>18</v>
      </c>
      <c r="C104" s="40" t="s">
        <v>15</v>
      </c>
      <c r="D104" s="40" t="s">
        <v>22</v>
      </c>
      <c r="E104" s="40">
        <v>16613</v>
      </c>
      <c r="F104" s="40">
        <v>3322</v>
      </c>
      <c r="G104" s="40">
        <v>2518</v>
      </c>
      <c r="H104" s="40">
        <v>1993</v>
      </c>
      <c r="I104" s="40">
        <v>1278</v>
      </c>
      <c r="J104" s="40">
        <v>19182</v>
      </c>
    </row>
    <row r="105" spans="1:10">
      <c r="A105" s="40" t="s">
        <v>189</v>
      </c>
      <c r="B105" s="40" t="s">
        <v>38</v>
      </c>
      <c r="C105" s="40" t="s">
        <v>25</v>
      </c>
      <c r="D105" s="40" t="s">
        <v>28</v>
      </c>
      <c r="E105" s="40">
        <v>48204</v>
      </c>
      <c r="F105" s="40">
        <v>9640</v>
      </c>
      <c r="G105" s="40">
        <v>2771</v>
      </c>
      <c r="H105" s="40">
        <v>5784</v>
      </c>
      <c r="I105" s="40">
        <v>1118</v>
      </c>
      <c r="J105" s="40">
        <v>53713</v>
      </c>
    </row>
    <row r="106" spans="1:10">
      <c r="A106" s="40" t="s">
        <v>190</v>
      </c>
      <c r="B106" s="40" t="s">
        <v>126</v>
      </c>
      <c r="C106" s="40" t="s">
        <v>11</v>
      </c>
      <c r="D106" s="40" t="s">
        <v>28</v>
      </c>
      <c r="E106" s="40">
        <v>22581</v>
      </c>
      <c r="F106" s="40">
        <v>4516</v>
      </c>
      <c r="G106" s="40">
        <v>1528</v>
      </c>
      <c r="H106" s="40">
        <v>2709</v>
      </c>
      <c r="I106" s="40">
        <v>1639</v>
      </c>
      <c r="J106" s="40">
        <v>24277</v>
      </c>
    </row>
    <row r="107" spans="1:10">
      <c r="A107" s="40" t="s">
        <v>191</v>
      </c>
      <c r="B107" s="40" t="s">
        <v>48</v>
      </c>
      <c r="C107" s="40" t="s">
        <v>33</v>
      </c>
      <c r="D107" s="40" t="s">
        <v>36</v>
      </c>
      <c r="E107" s="40">
        <v>43259</v>
      </c>
      <c r="F107" s="40">
        <v>8651</v>
      </c>
      <c r="G107" s="40">
        <v>3764</v>
      </c>
      <c r="H107" s="40">
        <v>5191</v>
      </c>
      <c r="I107" s="40">
        <v>1145</v>
      </c>
      <c r="J107" s="40">
        <v>49338</v>
      </c>
    </row>
    <row r="108" spans="1:10">
      <c r="A108" s="40" t="s">
        <v>192</v>
      </c>
      <c r="B108" s="40" t="s">
        <v>62</v>
      </c>
      <c r="C108" s="40" t="s">
        <v>21</v>
      </c>
      <c r="D108" s="40" t="s">
        <v>16</v>
      </c>
      <c r="E108" s="40">
        <v>54689</v>
      </c>
      <c r="F108" s="40">
        <v>10937</v>
      </c>
      <c r="G108" s="40">
        <v>4211</v>
      </c>
      <c r="H108" s="40">
        <v>6562</v>
      </c>
      <c r="I108" s="40">
        <v>2548</v>
      </c>
      <c r="J108" s="40">
        <v>60727</v>
      </c>
    </row>
    <row r="109" spans="1:10">
      <c r="A109" s="40" t="s">
        <v>193</v>
      </c>
      <c r="B109" s="40" t="s">
        <v>143</v>
      </c>
      <c r="C109" s="40" t="s">
        <v>33</v>
      </c>
      <c r="D109" s="40" t="s">
        <v>22</v>
      </c>
      <c r="E109" s="40">
        <v>55145</v>
      </c>
      <c r="F109" s="40">
        <v>11029</v>
      </c>
      <c r="G109" s="40">
        <v>4126</v>
      </c>
      <c r="H109" s="40">
        <v>6617</v>
      </c>
      <c r="I109" s="40">
        <v>2824</v>
      </c>
      <c r="J109" s="40">
        <v>60859</v>
      </c>
    </row>
    <row r="110" spans="1:10">
      <c r="A110" s="40" t="s">
        <v>194</v>
      </c>
      <c r="B110" s="40" t="s">
        <v>174</v>
      </c>
      <c r="C110" s="40" t="s">
        <v>25</v>
      </c>
      <c r="D110" s="40" t="s">
        <v>22</v>
      </c>
      <c r="E110" s="40">
        <v>50491</v>
      </c>
      <c r="F110" s="40">
        <v>10098</v>
      </c>
      <c r="G110" s="40">
        <v>3852</v>
      </c>
      <c r="H110" s="40">
        <v>6058</v>
      </c>
      <c r="I110" s="40">
        <v>922</v>
      </c>
      <c r="J110" s="40">
        <v>57461</v>
      </c>
    </row>
    <row r="111" spans="1:10">
      <c r="A111" s="40" t="s">
        <v>195</v>
      </c>
      <c r="B111" s="40" t="s">
        <v>138</v>
      </c>
      <c r="C111" s="40" t="s">
        <v>33</v>
      </c>
      <c r="D111" s="40" t="s">
        <v>22</v>
      </c>
      <c r="E111" s="40">
        <v>53909</v>
      </c>
      <c r="F111" s="40">
        <v>10781</v>
      </c>
      <c r="G111" s="40">
        <v>3171</v>
      </c>
      <c r="H111" s="40">
        <v>6469</v>
      </c>
      <c r="I111" s="40">
        <v>2682</v>
      </c>
      <c r="J111" s="40">
        <v>58710</v>
      </c>
    </row>
    <row r="112" spans="1:10">
      <c r="A112" s="40" t="s">
        <v>196</v>
      </c>
      <c r="B112" s="40" t="s">
        <v>67</v>
      </c>
      <c r="C112" s="40" t="s">
        <v>25</v>
      </c>
      <c r="D112" s="40" t="s">
        <v>28</v>
      </c>
      <c r="E112" s="40">
        <v>16230</v>
      </c>
      <c r="F112" s="40">
        <v>3246</v>
      </c>
      <c r="G112" s="40">
        <v>4737</v>
      </c>
      <c r="H112" s="40">
        <v>1947</v>
      </c>
      <c r="I112" s="40">
        <v>1364</v>
      </c>
      <c r="J112" s="40">
        <v>20902</v>
      </c>
    </row>
    <row r="113" spans="1:10">
      <c r="A113" s="40" t="s">
        <v>197</v>
      </c>
      <c r="B113" s="40" t="s">
        <v>156</v>
      </c>
      <c r="C113" s="40" t="s">
        <v>21</v>
      </c>
      <c r="D113" s="40" t="s">
        <v>16</v>
      </c>
      <c r="E113" s="40">
        <v>20167</v>
      </c>
      <c r="F113" s="40">
        <v>4033</v>
      </c>
      <c r="G113" s="40">
        <v>3058</v>
      </c>
      <c r="H113" s="40">
        <v>2420</v>
      </c>
      <c r="I113" s="40">
        <v>2435</v>
      </c>
      <c r="J113" s="40">
        <v>22403</v>
      </c>
    </row>
    <row r="114" spans="1:10">
      <c r="A114" s="40" t="s">
        <v>198</v>
      </c>
      <c r="B114" s="40" t="s">
        <v>46</v>
      </c>
      <c r="C114" s="40" t="s">
        <v>11</v>
      </c>
      <c r="D114" s="40" t="s">
        <v>28</v>
      </c>
      <c r="E114" s="40">
        <v>41355</v>
      </c>
      <c r="F114" s="40">
        <v>8271</v>
      </c>
      <c r="G114" s="40">
        <v>4809</v>
      </c>
      <c r="H114" s="40">
        <v>4962</v>
      </c>
      <c r="I114" s="40">
        <v>940</v>
      </c>
      <c r="J114" s="40">
        <v>48533</v>
      </c>
    </row>
    <row r="115" spans="1:10">
      <c r="A115" s="40" t="s">
        <v>199</v>
      </c>
      <c r="B115" s="40" t="s">
        <v>200</v>
      </c>
      <c r="C115" s="40" t="s">
        <v>33</v>
      </c>
      <c r="D115" s="40" t="s">
        <v>16</v>
      </c>
      <c r="E115" s="40">
        <v>42998</v>
      </c>
      <c r="F115" s="40">
        <v>8599</v>
      </c>
      <c r="G115" s="40">
        <v>2549</v>
      </c>
      <c r="H115" s="40">
        <v>5159</v>
      </c>
      <c r="I115" s="40">
        <v>2580</v>
      </c>
      <c r="J115" s="40">
        <v>46407</v>
      </c>
    </row>
    <row r="116" spans="1:10">
      <c r="A116" s="40" t="s">
        <v>201</v>
      </c>
      <c r="B116" s="40" t="s">
        <v>95</v>
      </c>
      <c r="C116" s="40" t="s">
        <v>33</v>
      </c>
      <c r="D116" s="40" t="s">
        <v>16</v>
      </c>
      <c r="E116" s="40">
        <v>31672</v>
      </c>
      <c r="F116" s="40">
        <v>6334</v>
      </c>
      <c r="G116" s="40">
        <v>4247</v>
      </c>
      <c r="H116" s="40">
        <v>3800</v>
      </c>
      <c r="I116" s="40">
        <v>2002</v>
      </c>
      <c r="J116" s="40">
        <v>36451</v>
      </c>
    </row>
    <row r="117" spans="1:10">
      <c r="A117" s="40" t="s">
        <v>202</v>
      </c>
      <c r="B117" s="40" t="s">
        <v>48</v>
      </c>
      <c r="C117" s="40" t="s">
        <v>49</v>
      </c>
      <c r="D117" s="40" t="s">
        <v>16</v>
      </c>
      <c r="E117" s="40">
        <v>58145</v>
      </c>
      <c r="F117" s="40">
        <v>11629</v>
      </c>
      <c r="G117" s="40">
        <v>4369</v>
      </c>
      <c r="H117" s="40">
        <v>6977</v>
      </c>
      <c r="I117" s="40">
        <v>2332</v>
      </c>
      <c r="J117" s="40">
        <v>64834</v>
      </c>
    </row>
    <row r="118" spans="1:10">
      <c r="A118" s="40" t="s">
        <v>203</v>
      </c>
      <c r="B118" s="40" t="s">
        <v>204</v>
      </c>
      <c r="C118" s="40" t="s">
        <v>33</v>
      </c>
      <c r="D118" s="40" t="s">
        <v>28</v>
      </c>
      <c r="E118" s="40">
        <v>35968</v>
      </c>
      <c r="F118" s="40">
        <v>7193</v>
      </c>
      <c r="G118" s="40">
        <v>4177</v>
      </c>
      <c r="H118" s="40">
        <v>4316</v>
      </c>
      <c r="I118" s="40">
        <v>2962</v>
      </c>
      <c r="J118" s="40">
        <v>40060</v>
      </c>
    </row>
    <row r="119" spans="1:10">
      <c r="A119" s="40" t="s">
        <v>205</v>
      </c>
      <c r="B119" s="40" t="s">
        <v>206</v>
      </c>
      <c r="C119" s="40" t="s">
        <v>33</v>
      </c>
      <c r="D119" s="40" t="s">
        <v>28</v>
      </c>
      <c r="E119" s="40">
        <v>56069</v>
      </c>
      <c r="F119" s="40">
        <v>11213</v>
      </c>
      <c r="G119" s="40">
        <v>3149</v>
      </c>
      <c r="H119" s="40">
        <v>6728</v>
      </c>
      <c r="I119" s="40">
        <v>1826</v>
      </c>
      <c r="J119" s="40">
        <v>61877</v>
      </c>
    </row>
    <row r="120" spans="1:10">
      <c r="A120" s="40" t="s">
        <v>207</v>
      </c>
      <c r="B120" s="40" t="s">
        <v>184</v>
      </c>
      <c r="C120" s="40" t="s">
        <v>15</v>
      </c>
      <c r="D120" s="40" t="s">
        <v>12</v>
      </c>
      <c r="E120" s="40">
        <v>26258</v>
      </c>
      <c r="F120" s="40">
        <v>5251</v>
      </c>
      <c r="G120" s="40">
        <v>3620</v>
      </c>
      <c r="H120" s="40">
        <v>3150</v>
      </c>
      <c r="I120" s="40">
        <v>507</v>
      </c>
      <c r="J120" s="40">
        <v>31472</v>
      </c>
    </row>
    <row r="121" spans="1:10">
      <c r="A121" s="40" t="s">
        <v>208</v>
      </c>
      <c r="B121" s="40" t="s">
        <v>209</v>
      </c>
      <c r="C121" s="40" t="s">
        <v>21</v>
      </c>
      <c r="D121" s="40" t="s">
        <v>22</v>
      </c>
      <c r="E121" s="40">
        <v>33144</v>
      </c>
      <c r="F121" s="40">
        <v>6628</v>
      </c>
      <c r="G121" s="40">
        <v>4997</v>
      </c>
      <c r="H121" s="40">
        <v>3977</v>
      </c>
      <c r="I121" s="40">
        <v>1438</v>
      </c>
      <c r="J121" s="40">
        <v>39354</v>
      </c>
    </row>
    <row r="122" spans="1:10">
      <c r="A122" s="40" t="s">
        <v>210</v>
      </c>
      <c r="B122" s="40" t="s">
        <v>177</v>
      </c>
      <c r="C122" s="40" t="s">
        <v>49</v>
      </c>
      <c r="D122" s="40" t="s">
        <v>22</v>
      </c>
      <c r="E122" s="40">
        <v>57694</v>
      </c>
      <c r="F122" s="40">
        <v>11538</v>
      </c>
      <c r="G122" s="40">
        <v>4034</v>
      </c>
      <c r="H122" s="40">
        <v>6923</v>
      </c>
      <c r="I122" s="40">
        <v>2056</v>
      </c>
      <c r="J122" s="40">
        <v>64287</v>
      </c>
    </row>
    <row r="123" spans="1:10">
      <c r="A123" s="40" t="s">
        <v>211</v>
      </c>
      <c r="B123" s="40" t="s">
        <v>120</v>
      </c>
      <c r="C123" s="40" t="s">
        <v>33</v>
      </c>
      <c r="D123" s="40" t="s">
        <v>16</v>
      </c>
      <c r="E123" s="40">
        <v>22293</v>
      </c>
      <c r="F123" s="40">
        <v>4458</v>
      </c>
      <c r="G123" s="40">
        <v>2401</v>
      </c>
      <c r="H123" s="40">
        <v>2675</v>
      </c>
      <c r="I123" s="40">
        <v>2672</v>
      </c>
      <c r="J123" s="40">
        <v>23805</v>
      </c>
    </row>
    <row r="124" spans="1:10">
      <c r="A124" s="40" t="s">
        <v>212</v>
      </c>
      <c r="B124" s="40" t="s">
        <v>213</v>
      </c>
      <c r="C124" s="40" t="s">
        <v>11</v>
      </c>
      <c r="D124" s="40" t="s">
        <v>28</v>
      </c>
      <c r="E124" s="40">
        <v>55922</v>
      </c>
      <c r="F124" s="40">
        <v>11184</v>
      </c>
      <c r="G124" s="40">
        <v>1414</v>
      </c>
      <c r="H124" s="40">
        <v>6710</v>
      </c>
      <c r="I124" s="40">
        <v>2072</v>
      </c>
      <c r="J124" s="40">
        <v>59738</v>
      </c>
    </row>
    <row r="125" spans="1:10">
      <c r="A125" s="40" t="s">
        <v>214</v>
      </c>
      <c r="B125" s="40" t="s">
        <v>58</v>
      </c>
      <c r="C125" s="40" t="s">
        <v>11</v>
      </c>
      <c r="D125" s="40" t="s">
        <v>12</v>
      </c>
      <c r="E125" s="40">
        <v>44515</v>
      </c>
      <c r="F125" s="40">
        <v>8903</v>
      </c>
      <c r="G125" s="40">
        <v>4534</v>
      </c>
      <c r="H125" s="40">
        <v>5341</v>
      </c>
      <c r="I125" s="40">
        <v>2003</v>
      </c>
      <c r="J125" s="40">
        <v>50608</v>
      </c>
    </row>
    <row r="126" spans="1:10">
      <c r="A126" s="40" t="s">
        <v>215</v>
      </c>
      <c r="B126" s="40" t="s">
        <v>14</v>
      </c>
      <c r="C126" s="40" t="s">
        <v>33</v>
      </c>
      <c r="D126" s="40" t="s">
        <v>12</v>
      </c>
      <c r="E126" s="40">
        <v>56705</v>
      </c>
      <c r="F126" s="40">
        <v>11341</v>
      </c>
      <c r="G126" s="40">
        <v>4249</v>
      </c>
      <c r="H126" s="40">
        <v>6804</v>
      </c>
      <c r="I126" s="40">
        <v>2981</v>
      </c>
      <c r="J126" s="40">
        <v>62510</v>
      </c>
    </row>
    <row r="127" spans="1:10">
      <c r="A127" s="40" t="s">
        <v>216</v>
      </c>
      <c r="B127" s="40" t="s">
        <v>217</v>
      </c>
      <c r="C127" s="40" t="s">
        <v>33</v>
      </c>
      <c r="D127" s="40" t="s">
        <v>16</v>
      </c>
      <c r="E127" s="40">
        <v>46843</v>
      </c>
      <c r="F127" s="40">
        <v>9368</v>
      </c>
      <c r="G127" s="40">
        <v>3385</v>
      </c>
      <c r="H127" s="40">
        <v>5621</v>
      </c>
      <c r="I127" s="40">
        <v>2653</v>
      </c>
      <c r="J127" s="40">
        <v>51322</v>
      </c>
    </row>
    <row r="128" spans="1:10">
      <c r="A128" s="40" t="s">
        <v>218</v>
      </c>
      <c r="B128" s="40" t="s">
        <v>156</v>
      </c>
      <c r="C128" s="40" t="s">
        <v>11</v>
      </c>
      <c r="D128" s="40" t="s">
        <v>12</v>
      </c>
      <c r="E128" s="40">
        <v>18999</v>
      </c>
      <c r="F128" s="40">
        <v>3799</v>
      </c>
      <c r="G128" s="40">
        <v>3165</v>
      </c>
      <c r="H128" s="40">
        <v>2279</v>
      </c>
      <c r="I128" s="40">
        <v>1250</v>
      </c>
      <c r="J128" s="40">
        <v>22434</v>
      </c>
    </row>
    <row r="129" spans="1:10">
      <c r="A129" s="40" t="s">
        <v>219</v>
      </c>
      <c r="B129" s="40" t="s">
        <v>220</v>
      </c>
      <c r="C129" s="40" t="s">
        <v>25</v>
      </c>
      <c r="D129" s="40" t="s">
        <v>28</v>
      </c>
      <c r="E129" s="40">
        <v>34794</v>
      </c>
      <c r="F129" s="40">
        <v>6958</v>
      </c>
      <c r="G129" s="40">
        <v>1385</v>
      </c>
      <c r="H129" s="40">
        <v>4175</v>
      </c>
      <c r="I129" s="40">
        <v>1147</v>
      </c>
      <c r="J129" s="40">
        <v>37815</v>
      </c>
    </row>
    <row r="130" spans="1:10">
      <c r="A130" s="40" t="s">
        <v>221</v>
      </c>
      <c r="B130" s="40" t="s">
        <v>222</v>
      </c>
      <c r="C130" s="40" t="s">
        <v>15</v>
      </c>
      <c r="D130" s="40" t="s">
        <v>16</v>
      </c>
      <c r="E130" s="40">
        <v>41227</v>
      </c>
      <c r="F130" s="40">
        <v>8245</v>
      </c>
      <c r="G130" s="40">
        <v>4368</v>
      </c>
      <c r="H130" s="40">
        <v>4947</v>
      </c>
      <c r="I130" s="40">
        <v>917</v>
      </c>
      <c r="J130" s="40">
        <v>47976</v>
      </c>
    </row>
    <row r="131" spans="1:10">
      <c r="A131" s="40" t="s">
        <v>223</v>
      </c>
      <c r="B131" s="40" t="s">
        <v>206</v>
      </c>
      <c r="C131" s="40" t="s">
        <v>25</v>
      </c>
      <c r="D131" s="40" t="s">
        <v>12</v>
      </c>
      <c r="E131" s="40">
        <v>16306</v>
      </c>
      <c r="F131" s="40">
        <v>3261</v>
      </c>
      <c r="G131" s="40">
        <v>2178</v>
      </c>
      <c r="H131" s="40">
        <v>1956</v>
      </c>
      <c r="I131" s="40">
        <v>1732</v>
      </c>
      <c r="J131" s="40">
        <v>18057</v>
      </c>
    </row>
    <row r="132" spans="1:10">
      <c r="A132" s="40" t="s">
        <v>224</v>
      </c>
      <c r="B132" s="40" t="s">
        <v>171</v>
      </c>
      <c r="C132" s="40" t="s">
        <v>15</v>
      </c>
      <c r="D132" s="40" t="s">
        <v>36</v>
      </c>
      <c r="E132" s="40">
        <v>33930</v>
      </c>
      <c r="F132" s="40">
        <v>6786</v>
      </c>
      <c r="G132" s="40">
        <v>3247</v>
      </c>
      <c r="H132" s="40">
        <v>4071</v>
      </c>
      <c r="I132" s="40">
        <v>1528</v>
      </c>
      <c r="J132" s="40">
        <v>38364</v>
      </c>
    </row>
    <row r="133" spans="1:10">
      <c r="A133" s="40" t="s">
        <v>225</v>
      </c>
      <c r="B133" s="40" t="s">
        <v>87</v>
      </c>
      <c r="C133" s="40" t="s">
        <v>49</v>
      </c>
      <c r="D133" s="40" t="s">
        <v>28</v>
      </c>
      <c r="E133" s="40">
        <v>19448</v>
      </c>
      <c r="F133" s="40">
        <v>3889</v>
      </c>
      <c r="G133" s="40">
        <v>4435</v>
      </c>
      <c r="H133" s="40">
        <v>2333</v>
      </c>
      <c r="I133" s="40">
        <v>589</v>
      </c>
      <c r="J133" s="40">
        <v>24850</v>
      </c>
    </row>
    <row r="134" spans="1:10">
      <c r="A134" s="40" t="s">
        <v>226</v>
      </c>
      <c r="B134" s="40" t="s">
        <v>73</v>
      </c>
      <c r="C134" s="40" t="s">
        <v>49</v>
      </c>
      <c r="D134" s="40" t="s">
        <v>22</v>
      </c>
      <c r="E134" s="40">
        <v>29985</v>
      </c>
      <c r="F134" s="40">
        <v>5997</v>
      </c>
      <c r="G134" s="40">
        <v>2891</v>
      </c>
      <c r="H134" s="40">
        <v>3598</v>
      </c>
      <c r="I134" s="40">
        <v>1084</v>
      </c>
      <c r="J134" s="40">
        <v>34191</v>
      </c>
    </row>
    <row r="135" spans="1:10">
      <c r="A135" s="40" t="s">
        <v>227</v>
      </c>
      <c r="B135" s="40" t="s">
        <v>62</v>
      </c>
      <c r="C135" s="40" t="s">
        <v>21</v>
      </c>
      <c r="D135" s="40" t="s">
        <v>36</v>
      </c>
      <c r="E135" s="40">
        <v>54718</v>
      </c>
      <c r="F135" s="40">
        <v>10943</v>
      </c>
      <c r="G135" s="40">
        <v>3992</v>
      </c>
      <c r="H135" s="40">
        <v>6566</v>
      </c>
      <c r="I135" s="40">
        <v>2074</v>
      </c>
      <c r="J135" s="40">
        <v>61013</v>
      </c>
    </row>
    <row r="136" spans="1:10">
      <c r="A136" s="40" t="s">
        <v>228</v>
      </c>
      <c r="B136" s="40" t="s">
        <v>156</v>
      </c>
      <c r="C136" s="40" t="s">
        <v>21</v>
      </c>
      <c r="D136" s="40" t="s">
        <v>36</v>
      </c>
      <c r="E136" s="40">
        <v>49315</v>
      </c>
      <c r="F136" s="40">
        <v>9863</v>
      </c>
      <c r="G136" s="40">
        <v>4090</v>
      </c>
      <c r="H136" s="40">
        <v>5917</v>
      </c>
      <c r="I136" s="40">
        <v>1378</v>
      </c>
      <c r="J136" s="40">
        <v>55973</v>
      </c>
    </row>
    <row r="137" spans="1:10">
      <c r="A137" s="40" t="s">
        <v>229</v>
      </c>
      <c r="B137" s="40" t="s">
        <v>97</v>
      </c>
      <c r="C137" s="40" t="s">
        <v>49</v>
      </c>
      <c r="D137" s="40" t="s">
        <v>28</v>
      </c>
      <c r="E137" s="40">
        <v>34443</v>
      </c>
      <c r="F137" s="40">
        <v>6888</v>
      </c>
      <c r="G137" s="40">
        <v>1580</v>
      </c>
      <c r="H137" s="40">
        <v>4133</v>
      </c>
      <c r="I137" s="40">
        <v>2147</v>
      </c>
      <c r="J137" s="40">
        <v>36631</v>
      </c>
    </row>
    <row r="138" spans="1:10">
      <c r="A138" s="40" t="s">
        <v>230</v>
      </c>
      <c r="B138" s="40" t="s">
        <v>231</v>
      </c>
      <c r="C138" s="40" t="s">
        <v>15</v>
      </c>
      <c r="D138" s="40" t="s">
        <v>22</v>
      </c>
      <c r="E138" s="40">
        <v>15724</v>
      </c>
      <c r="F138" s="40">
        <v>3144</v>
      </c>
      <c r="G138" s="40">
        <v>4795</v>
      </c>
      <c r="H138" s="40">
        <v>1886</v>
      </c>
      <c r="I138" s="40">
        <v>2813</v>
      </c>
      <c r="J138" s="40">
        <v>18964</v>
      </c>
    </row>
    <row r="139" spans="1:10">
      <c r="A139" s="40" t="s">
        <v>232</v>
      </c>
      <c r="B139" s="40" t="s">
        <v>233</v>
      </c>
      <c r="C139" s="40" t="s">
        <v>21</v>
      </c>
      <c r="D139" s="40" t="s">
        <v>36</v>
      </c>
      <c r="E139" s="40">
        <v>51541</v>
      </c>
      <c r="F139" s="40">
        <v>10308</v>
      </c>
      <c r="G139" s="40">
        <v>2523</v>
      </c>
      <c r="H139" s="40">
        <v>6184</v>
      </c>
      <c r="I139" s="40">
        <v>1836</v>
      </c>
      <c r="J139" s="40">
        <v>56352</v>
      </c>
    </row>
    <row r="140" spans="1:10">
      <c r="A140" s="40" t="s">
        <v>234</v>
      </c>
      <c r="B140" s="40" t="s">
        <v>100</v>
      </c>
      <c r="C140" s="40" t="s">
        <v>33</v>
      </c>
      <c r="D140" s="40" t="s">
        <v>36</v>
      </c>
      <c r="E140" s="40">
        <v>50182</v>
      </c>
      <c r="F140" s="40">
        <v>10036</v>
      </c>
      <c r="G140" s="40">
        <v>1905</v>
      </c>
      <c r="H140" s="40">
        <v>6021</v>
      </c>
      <c r="I140" s="40">
        <v>2091</v>
      </c>
      <c r="J140" s="40">
        <v>54011</v>
      </c>
    </row>
    <row r="141" spans="1:10">
      <c r="A141" s="40" t="s">
        <v>235</v>
      </c>
      <c r="B141" s="40" t="s">
        <v>236</v>
      </c>
      <c r="C141" s="40" t="s">
        <v>33</v>
      </c>
      <c r="D141" s="40" t="s">
        <v>16</v>
      </c>
      <c r="E141" s="40">
        <v>15366</v>
      </c>
      <c r="F141" s="40">
        <v>3073</v>
      </c>
      <c r="G141" s="40">
        <v>3471</v>
      </c>
      <c r="H141" s="40">
        <v>1843</v>
      </c>
      <c r="I141" s="40">
        <v>1159</v>
      </c>
      <c r="J141" s="40">
        <v>18908</v>
      </c>
    </row>
    <row r="142" spans="1:10">
      <c r="A142" s="40" t="s">
        <v>237</v>
      </c>
      <c r="B142" s="40" t="s">
        <v>171</v>
      </c>
      <c r="C142" s="40" t="s">
        <v>33</v>
      </c>
      <c r="D142" s="40" t="s">
        <v>36</v>
      </c>
      <c r="E142" s="40">
        <v>19489</v>
      </c>
      <c r="F142" s="40">
        <v>3897</v>
      </c>
      <c r="G142" s="40">
        <v>1087</v>
      </c>
      <c r="H142" s="40">
        <v>2338</v>
      </c>
      <c r="I142" s="40">
        <v>2608</v>
      </c>
      <c r="J142" s="40">
        <v>19527</v>
      </c>
    </row>
    <row r="143" spans="1:10">
      <c r="A143" s="40" t="s">
        <v>238</v>
      </c>
      <c r="B143" s="40" t="s">
        <v>107</v>
      </c>
      <c r="C143" s="40" t="s">
        <v>49</v>
      </c>
      <c r="D143" s="40" t="s">
        <v>28</v>
      </c>
      <c r="E143" s="40">
        <v>51646</v>
      </c>
      <c r="F143" s="40">
        <v>10329</v>
      </c>
      <c r="G143" s="40">
        <v>1840</v>
      </c>
      <c r="H143" s="40">
        <v>6197</v>
      </c>
      <c r="I143" s="40">
        <v>579</v>
      </c>
      <c r="J143" s="40">
        <v>57039</v>
      </c>
    </row>
    <row r="144" spans="1:10">
      <c r="A144" s="40" t="s">
        <v>239</v>
      </c>
      <c r="B144" s="40" t="s">
        <v>164</v>
      </c>
      <c r="C144" s="40" t="s">
        <v>21</v>
      </c>
      <c r="D144" s="40" t="s">
        <v>28</v>
      </c>
      <c r="E144" s="40">
        <v>54354</v>
      </c>
      <c r="F144" s="40">
        <v>10870</v>
      </c>
      <c r="G144" s="40">
        <v>2997</v>
      </c>
      <c r="H144" s="40">
        <v>6522</v>
      </c>
      <c r="I144" s="40">
        <v>1083</v>
      </c>
      <c r="J144" s="40">
        <v>60616</v>
      </c>
    </row>
    <row r="145" spans="1:10">
      <c r="A145" s="40" t="s">
        <v>240</v>
      </c>
      <c r="B145" s="40" t="s">
        <v>67</v>
      </c>
      <c r="C145" s="40" t="s">
        <v>33</v>
      </c>
      <c r="D145" s="40" t="s">
        <v>12</v>
      </c>
      <c r="E145" s="40">
        <v>26351</v>
      </c>
      <c r="F145" s="40">
        <v>5270</v>
      </c>
      <c r="G145" s="40">
        <v>3438</v>
      </c>
      <c r="H145" s="40">
        <v>3162</v>
      </c>
      <c r="I145" s="40">
        <v>1878</v>
      </c>
      <c r="J145" s="40">
        <v>30019</v>
      </c>
    </row>
    <row r="146" spans="1:10">
      <c r="A146" s="40" t="s">
        <v>241</v>
      </c>
      <c r="B146" s="40" t="s">
        <v>236</v>
      </c>
      <c r="C146" s="40" t="s">
        <v>25</v>
      </c>
      <c r="D146" s="40" t="s">
        <v>22</v>
      </c>
      <c r="E146" s="40">
        <v>43339</v>
      </c>
      <c r="F146" s="40">
        <v>8667</v>
      </c>
      <c r="G146" s="40">
        <v>4867</v>
      </c>
      <c r="H146" s="40">
        <v>5200</v>
      </c>
      <c r="I146" s="40">
        <v>777</v>
      </c>
      <c r="J146" s="40">
        <v>50896</v>
      </c>
    </row>
    <row r="147" spans="1:10">
      <c r="A147" s="40" t="s">
        <v>242</v>
      </c>
      <c r="B147" s="40" t="s">
        <v>177</v>
      </c>
      <c r="C147" s="40" t="s">
        <v>25</v>
      </c>
      <c r="D147" s="40" t="s">
        <v>28</v>
      </c>
      <c r="E147" s="40">
        <v>29971</v>
      </c>
      <c r="F147" s="40">
        <v>5994</v>
      </c>
      <c r="G147" s="40">
        <v>3256</v>
      </c>
      <c r="H147" s="40">
        <v>3596</v>
      </c>
      <c r="I147" s="40">
        <v>1257</v>
      </c>
      <c r="J147" s="40">
        <v>34368</v>
      </c>
    </row>
    <row r="148" spans="1:10">
      <c r="A148" s="40" t="s">
        <v>243</v>
      </c>
      <c r="B148" s="40" t="s">
        <v>171</v>
      </c>
      <c r="C148" s="40" t="s">
        <v>15</v>
      </c>
      <c r="D148" s="40" t="s">
        <v>16</v>
      </c>
      <c r="E148" s="40">
        <v>39817</v>
      </c>
      <c r="F148" s="40">
        <v>7963</v>
      </c>
      <c r="G148" s="40">
        <v>3972</v>
      </c>
      <c r="H148" s="40">
        <v>4778</v>
      </c>
      <c r="I148" s="40">
        <v>1708</v>
      </c>
      <c r="J148" s="40">
        <v>45266</v>
      </c>
    </row>
    <row r="149" spans="1:10">
      <c r="A149" s="40" t="s">
        <v>244</v>
      </c>
      <c r="B149" s="40" t="s">
        <v>174</v>
      </c>
      <c r="C149" s="40" t="s">
        <v>11</v>
      </c>
      <c r="D149" s="40" t="s">
        <v>22</v>
      </c>
      <c r="E149" s="40">
        <v>19806</v>
      </c>
      <c r="F149" s="40">
        <v>3961</v>
      </c>
      <c r="G149" s="40">
        <v>3601</v>
      </c>
      <c r="H149" s="40">
        <v>2376</v>
      </c>
      <c r="I149" s="40">
        <v>2818</v>
      </c>
      <c r="J149" s="40">
        <v>22174</v>
      </c>
    </row>
    <row r="150" spans="1:10">
      <c r="A150" s="40" t="s">
        <v>245</v>
      </c>
      <c r="B150" s="40" t="s">
        <v>109</v>
      </c>
      <c r="C150" s="40" t="s">
        <v>21</v>
      </c>
      <c r="D150" s="40" t="s">
        <v>16</v>
      </c>
      <c r="E150" s="40">
        <v>21484</v>
      </c>
      <c r="F150" s="40">
        <v>4296</v>
      </c>
      <c r="G150" s="40">
        <v>3006</v>
      </c>
      <c r="H150" s="40">
        <v>2578</v>
      </c>
      <c r="I150" s="40">
        <v>2889</v>
      </c>
      <c r="J150" s="40">
        <v>23319</v>
      </c>
    </row>
    <row r="151" spans="1:10">
      <c r="A151" s="40" t="s">
        <v>246</v>
      </c>
      <c r="B151" s="40" t="s">
        <v>152</v>
      </c>
      <c r="C151" s="40" t="s">
        <v>21</v>
      </c>
      <c r="D151" s="40" t="s">
        <v>16</v>
      </c>
      <c r="E151" s="40">
        <v>45604</v>
      </c>
      <c r="F151" s="40">
        <v>9120</v>
      </c>
      <c r="G151" s="40">
        <v>2993</v>
      </c>
      <c r="H151" s="40">
        <v>5472</v>
      </c>
      <c r="I151" s="40">
        <v>2564</v>
      </c>
      <c r="J151" s="40">
        <v>49681</v>
      </c>
    </row>
    <row r="152" spans="1:10">
      <c r="A152" s="40" t="s">
        <v>247</v>
      </c>
      <c r="B152" s="40" t="s">
        <v>104</v>
      </c>
      <c r="C152" s="40" t="s">
        <v>11</v>
      </c>
      <c r="D152" s="40" t="s">
        <v>22</v>
      </c>
      <c r="E152" s="40">
        <v>58437</v>
      </c>
      <c r="F152" s="40">
        <v>11687</v>
      </c>
      <c r="G152" s="40">
        <v>4184</v>
      </c>
      <c r="H152" s="40">
        <v>7012</v>
      </c>
      <c r="I152" s="40">
        <v>1655</v>
      </c>
      <c r="J152" s="40">
        <v>65641</v>
      </c>
    </row>
    <row r="153" spans="1:10">
      <c r="A153" s="40" t="s">
        <v>248</v>
      </c>
      <c r="B153" s="40" t="s">
        <v>79</v>
      </c>
      <c r="C153" s="40" t="s">
        <v>11</v>
      </c>
      <c r="D153" s="40" t="s">
        <v>12</v>
      </c>
      <c r="E153" s="40">
        <v>58014</v>
      </c>
      <c r="F153" s="40">
        <v>11602</v>
      </c>
      <c r="G153" s="40">
        <v>2075</v>
      </c>
      <c r="H153" s="40">
        <v>6961</v>
      </c>
      <c r="I153" s="40">
        <v>2240</v>
      </c>
      <c r="J153" s="40">
        <v>62490</v>
      </c>
    </row>
    <row r="154" spans="1:10">
      <c r="A154" s="40" t="s">
        <v>249</v>
      </c>
      <c r="B154" s="40" t="s">
        <v>143</v>
      </c>
      <c r="C154" s="40" t="s">
        <v>25</v>
      </c>
      <c r="D154" s="40" t="s">
        <v>12</v>
      </c>
      <c r="E154" s="40">
        <v>26143</v>
      </c>
      <c r="F154" s="40">
        <v>5228</v>
      </c>
      <c r="G154" s="40">
        <v>4237</v>
      </c>
      <c r="H154" s="40">
        <v>3137</v>
      </c>
      <c r="I154" s="40">
        <v>2907</v>
      </c>
      <c r="J154" s="40">
        <v>29564</v>
      </c>
    </row>
    <row r="155" spans="1:10">
      <c r="A155" s="40" t="s">
        <v>250</v>
      </c>
      <c r="B155" s="40" t="s">
        <v>62</v>
      </c>
      <c r="C155" s="40" t="s">
        <v>49</v>
      </c>
      <c r="D155" s="40" t="s">
        <v>22</v>
      </c>
      <c r="E155" s="40">
        <v>28719</v>
      </c>
      <c r="F155" s="40">
        <v>5743</v>
      </c>
      <c r="G155" s="40">
        <v>2488</v>
      </c>
      <c r="H155" s="40">
        <v>3446</v>
      </c>
      <c r="I155" s="40">
        <v>1341</v>
      </c>
      <c r="J155" s="40">
        <v>32163</v>
      </c>
    </row>
    <row r="156" spans="1:10">
      <c r="A156" s="40" t="s">
        <v>251</v>
      </c>
      <c r="B156" s="40" t="s">
        <v>27</v>
      </c>
      <c r="C156" s="40" t="s">
        <v>33</v>
      </c>
      <c r="D156" s="40" t="s">
        <v>12</v>
      </c>
      <c r="E156" s="40">
        <v>29327</v>
      </c>
      <c r="F156" s="40">
        <v>5865</v>
      </c>
      <c r="G156" s="40">
        <v>4697</v>
      </c>
      <c r="H156" s="40">
        <v>3519</v>
      </c>
      <c r="I156" s="40">
        <v>2741</v>
      </c>
      <c r="J156" s="40">
        <v>33629</v>
      </c>
    </row>
    <row r="157" spans="1:10">
      <c r="A157" s="40" t="s">
        <v>252</v>
      </c>
      <c r="B157" s="40" t="s">
        <v>135</v>
      </c>
      <c r="C157" s="40" t="s">
        <v>49</v>
      </c>
      <c r="D157" s="40" t="s">
        <v>28</v>
      </c>
      <c r="E157" s="40">
        <v>29075</v>
      </c>
      <c r="F157" s="40">
        <v>5815</v>
      </c>
      <c r="G157" s="40">
        <v>1144</v>
      </c>
      <c r="H157" s="40">
        <v>3489</v>
      </c>
      <c r="I157" s="40">
        <v>1843</v>
      </c>
      <c r="J157" s="40">
        <v>30702</v>
      </c>
    </row>
    <row r="158" spans="1:10">
      <c r="A158" s="40" t="s">
        <v>253</v>
      </c>
      <c r="B158" s="40" t="s">
        <v>254</v>
      </c>
      <c r="C158" s="40" t="s">
        <v>49</v>
      </c>
      <c r="D158" s="40" t="s">
        <v>22</v>
      </c>
      <c r="E158" s="40">
        <v>32293</v>
      </c>
      <c r="F158" s="40">
        <v>6458</v>
      </c>
      <c r="G158" s="40">
        <v>4325</v>
      </c>
      <c r="H158" s="40">
        <v>3875</v>
      </c>
      <c r="I158" s="40">
        <v>2146</v>
      </c>
      <c r="J158" s="40">
        <v>37055</v>
      </c>
    </row>
    <row r="159" spans="1:10">
      <c r="A159" s="40" t="s">
        <v>255</v>
      </c>
      <c r="B159" s="40" t="s">
        <v>213</v>
      </c>
      <c r="C159" s="40" t="s">
        <v>33</v>
      </c>
      <c r="D159" s="40" t="s">
        <v>36</v>
      </c>
      <c r="E159" s="40">
        <v>24608</v>
      </c>
      <c r="F159" s="40">
        <v>4921</v>
      </c>
      <c r="G159" s="40">
        <v>3746</v>
      </c>
      <c r="H159" s="40">
        <v>2952</v>
      </c>
      <c r="I159" s="40">
        <v>1344</v>
      </c>
      <c r="J159" s="40">
        <v>28979</v>
      </c>
    </row>
    <row r="160" spans="1:10">
      <c r="A160" s="40" t="s">
        <v>256</v>
      </c>
      <c r="B160" s="40" t="s">
        <v>24</v>
      </c>
      <c r="C160" s="40" t="s">
        <v>21</v>
      </c>
      <c r="D160" s="40" t="s">
        <v>12</v>
      </c>
      <c r="E160" s="40">
        <v>15611</v>
      </c>
      <c r="F160" s="40">
        <v>3122</v>
      </c>
      <c r="G160" s="40">
        <v>3014</v>
      </c>
      <c r="H160" s="40">
        <v>1873</v>
      </c>
      <c r="I160" s="40">
        <v>1904</v>
      </c>
      <c r="J160" s="40">
        <v>17970</v>
      </c>
    </row>
    <row r="161" spans="1:10">
      <c r="A161" s="40" t="s">
        <v>257</v>
      </c>
      <c r="B161" s="40" t="s">
        <v>77</v>
      </c>
      <c r="C161" s="40" t="s">
        <v>33</v>
      </c>
      <c r="D161" s="40" t="s">
        <v>12</v>
      </c>
      <c r="E161" s="40">
        <v>50006</v>
      </c>
      <c r="F161" s="40">
        <v>10001</v>
      </c>
      <c r="G161" s="40">
        <v>2393</v>
      </c>
      <c r="H161" s="40">
        <v>6000</v>
      </c>
      <c r="I161" s="40">
        <v>1082</v>
      </c>
      <c r="J161" s="40">
        <v>55318</v>
      </c>
    </row>
    <row r="162" spans="1:10">
      <c r="A162" s="40" t="s">
        <v>258</v>
      </c>
      <c r="B162" s="40" t="s">
        <v>177</v>
      </c>
      <c r="C162" s="40" t="s">
        <v>21</v>
      </c>
      <c r="D162" s="40" t="s">
        <v>22</v>
      </c>
      <c r="E162" s="40">
        <v>40593</v>
      </c>
      <c r="F162" s="40">
        <v>8118</v>
      </c>
      <c r="G162" s="40">
        <v>1480</v>
      </c>
      <c r="H162" s="40">
        <v>4871</v>
      </c>
      <c r="I162" s="40">
        <v>1002</v>
      </c>
      <c r="J162" s="40">
        <v>44318</v>
      </c>
    </row>
    <row r="163" spans="1:10">
      <c r="A163" s="40" t="s">
        <v>259</v>
      </c>
      <c r="B163" s="40" t="s">
        <v>38</v>
      </c>
      <c r="C163" s="40" t="s">
        <v>21</v>
      </c>
      <c r="D163" s="40" t="s">
        <v>28</v>
      </c>
      <c r="E163" s="40">
        <v>30719</v>
      </c>
      <c r="F163" s="40">
        <v>6143</v>
      </c>
      <c r="G163" s="40">
        <v>3053</v>
      </c>
      <c r="H163" s="40">
        <v>3686</v>
      </c>
      <c r="I163" s="40">
        <v>1032</v>
      </c>
      <c r="J163" s="40">
        <v>35197</v>
      </c>
    </row>
    <row r="164" spans="1:10">
      <c r="A164" s="40" t="s">
        <v>260</v>
      </c>
      <c r="B164" s="40" t="s">
        <v>42</v>
      </c>
      <c r="C164" s="40" t="s">
        <v>33</v>
      </c>
      <c r="D164" s="40" t="s">
        <v>12</v>
      </c>
      <c r="E164" s="40">
        <v>51774</v>
      </c>
      <c r="F164" s="40">
        <v>10354</v>
      </c>
      <c r="G164" s="40">
        <v>2932</v>
      </c>
      <c r="H164" s="40">
        <v>6212</v>
      </c>
      <c r="I164" s="40">
        <v>687</v>
      </c>
      <c r="J164" s="40">
        <v>58161</v>
      </c>
    </row>
    <row r="165" spans="1:10">
      <c r="A165" s="40" t="s">
        <v>261</v>
      </c>
      <c r="B165" s="40" t="s">
        <v>262</v>
      </c>
      <c r="C165" s="40" t="s">
        <v>49</v>
      </c>
      <c r="D165" s="40" t="s">
        <v>36</v>
      </c>
      <c r="E165" s="40">
        <v>54842</v>
      </c>
      <c r="F165" s="40">
        <v>10968</v>
      </c>
      <c r="G165" s="40">
        <v>1151</v>
      </c>
      <c r="H165" s="40">
        <v>6581</v>
      </c>
      <c r="I165" s="40">
        <v>2318</v>
      </c>
      <c r="J165" s="40">
        <v>58062</v>
      </c>
    </row>
    <row r="166" spans="1:10">
      <c r="A166" s="40" t="s">
        <v>263</v>
      </c>
      <c r="B166" s="40" t="s">
        <v>143</v>
      </c>
      <c r="C166" s="40" t="s">
        <v>11</v>
      </c>
      <c r="D166" s="40" t="s">
        <v>28</v>
      </c>
      <c r="E166" s="40">
        <v>29171</v>
      </c>
      <c r="F166" s="40">
        <v>5834</v>
      </c>
      <c r="G166" s="40">
        <v>4820</v>
      </c>
      <c r="H166" s="40">
        <v>3500</v>
      </c>
      <c r="I166" s="40">
        <v>1454</v>
      </c>
      <c r="J166" s="40">
        <v>34871</v>
      </c>
    </row>
    <row r="167" spans="1:10">
      <c r="A167" s="40" t="s">
        <v>264</v>
      </c>
      <c r="B167" s="40" t="s">
        <v>149</v>
      </c>
      <c r="C167" s="40" t="s">
        <v>15</v>
      </c>
      <c r="D167" s="40" t="s">
        <v>12</v>
      </c>
      <c r="E167" s="40">
        <v>43125</v>
      </c>
      <c r="F167" s="40">
        <v>8625</v>
      </c>
      <c r="G167" s="40">
        <v>4910</v>
      </c>
      <c r="H167" s="40">
        <v>5175</v>
      </c>
      <c r="I167" s="40">
        <v>2123</v>
      </c>
      <c r="J167" s="40">
        <v>49362</v>
      </c>
    </row>
    <row r="168" spans="1:10">
      <c r="A168" s="40" t="s">
        <v>265</v>
      </c>
      <c r="B168" s="40" t="s">
        <v>27</v>
      </c>
      <c r="C168" s="40" t="s">
        <v>25</v>
      </c>
      <c r="D168" s="40" t="s">
        <v>22</v>
      </c>
      <c r="E168" s="40">
        <v>48944</v>
      </c>
      <c r="F168" s="40">
        <v>9788</v>
      </c>
      <c r="G168" s="40">
        <v>1720</v>
      </c>
      <c r="H168" s="40">
        <v>5873</v>
      </c>
      <c r="I168" s="40">
        <v>622</v>
      </c>
      <c r="J168" s="40">
        <v>53957</v>
      </c>
    </row>
    <row r="169" spans="1:10">
      <c r="A169" s="40" t="s">
        <v>266</v>
      </c>
      <c r="B169" s="40" t="s">
        <v>160</v>
      </c>
      <c r="C169" s="40" t="s">
        <v>21</v>
      </c>
      <c r="D169" s="40" t="s">
        <v>22</v>
      </c>
      <c r="E169" s="40">
        <v>37527</v>
      </c>
      <c r="F169" s="40">
        <v>7505</v>
      </c>
      <c r="G169" s="40">
        <v>4615</v>
      </c>
      <c r="H169" s="40">
        <v>4503</v>
      </c>
      <c r="I169" s="40">
        <v>2787</v>
      </c>
      <c r="J169" s="40">
        <v>42357</v>
      </c>
    </row>
    <row r="170" spans="1:10">
      <c r="A170" s="40" t="s">
        <v>267</v>
      </c>
      <c r="B170" s="40" t="s">
        <v>18</v>
      </c>
      <c r="C170" s="40" t="s">
        <v>33</v>
      </c>
      <c r="D170" s="40" t="s">
        <v>16</v>
      </c>
      <c r="E170" s="40">
        <v>16600</v>
      </c>
      <c r="F170" s="40">
        <v>3320</v>
      </c>
      <c r="G170" s="40">
        <v>2622</v>
      </c>
      <c r="H170" s="40">
        <v>1992</v>
      </c>
      <c r="I170" s="40">
        <v>991</v>
      </c>
      <c r="J170" s="40">
        <v>19559</v>
      </c>
    </row>
    <row r="171" spans="1:10">
      <c r="A171" s="40" t="s">
        <v>268</v>
      </c>
      <c r="B171" s="40" t="s">
        <v>123</v>
      </c>
      <c r="C171" s="40" t="s">
        <v>25</v>
      </c>
      <c r="D171" s="40" t="s">
        <v>28</v>
      </c>
      <c r="E171" s="40">
        <v>54688</v>
      </c>
      <c r="F171" s="40">
        <v>10937</v>
      </c>
      <c r="G171" s="40">
        <v>2258</v>
      </c>
      <c r="H171" s="40">
        <v>6562</v>
      </c>
      <c r="I171" s="40">
        <v>1148</v>
      </c>
      <c r="J171" s="40">
        <v>60173</v>
      </c>
    </row>
    <row r="172" spans="1:10">
      <c r="A172" s="40" t="s">
        <v>269</v>
      </c>
      <c r="B172" s="40" t="s">
        <v>270</v>
      </c>
      <c r="C172" s="40" t="s">
        <v>11</v>
      </c>
      <c r="D172" s="40" t="s">
        <v>36</v>
      </c>
      <c r="E172" s="40">
        <v>25603</v>
      </c>
      <c r="F172" s="40">
        <v>5120</v>
      </c>
      <c r="G172" s="40">
        <v>4625</v>
      </c>
      <c r="H172" s="40">
        <v>3072</v>
      </c>
      <c r="I172" s="40">
        <v>963</v>
      </c>
      <c r="J172" s="40">
        <v>31313</v>
      </c>
    </row>
    <row r="173" spans="1:10">
      <c r="A173" s="40" t="s">
        <v>271</v>
      </c>
      <c r="B173" s="40" t="s">
        <v>71</v>
      </c>
      <c r="C173" s="40" t="s">
        <v>21</v>
      </c>
      <c r="D173" s="40" t="s">
        <v>16</v>
      </c>
      <c r="E173" s="40">
        <v>45728</v>
      </c>
      <c r="F173" s="40">
        <v>9145</v>
      </c>
      <c r="G173" s="40">
        <v>3213</v>
      </c>
      <c r="H173" s="40">
        <v>5487</v>
      </c>
      <c r="I173" s="40">
        <v>1760</v>
      </c>
      <c r="J173" s="40">
        <v>50839</v>
      </c>
    </row>
    <row r="174" spans="1:10">
      <c r="A174" s="40" t="s">
        <v>272</v>
      </c>
      <c r="B174" s="40" t="s">
        <v>273</v>
      </c>
      <c r="C174" s="40" t="s">
        <v>11</v>
      </c>
      <c r="D174" s="40" t="s">
        <v>22</v>
      </c>
      <c r="E174" s="40">
        <v>31114</v>
      </c>
      <c r="F174" s="40">
        <v>6222</v>
      </c>
      <c r="G174" s="40">
        <v>4572</v>
      </c>
      <c r="H174" s="40">
        <v>3733</v>
      </c>
      <c r="I174" s="40">
        <v>899</v>
      </c>
      <c r="J174" s="40">
        <v>37276</v>
      </c>
    </row>
    <row r="175" spans="1:10">
      <c r="A175" s="40" t="s">
        <v>274</v>
      </c>
      <c r="B175" s="40" t="s">
        <v>35</v>
      </c>
      <c r="C175" s="40" t="s">
        <v>49</v>
      </c>
      <c r="D175" s="40" t="s">
        <v>28</v>
      </c>
      <c r="E175" s="40">
        <v>18268</v>
      </c>
      <c r="F175" s="40">
        <v>3653</v>
      </c>
      <c r="G175" s="40">
        <v>3386</v>
      </c>
      <c r="H175" s="40">
        <v>2192</v>
      </c>
      <c r="I175" s="40">
        <v>607</v>
      </c>
      <c r="J175" s="40">
        <v>22508</v>
      </c>
    </row>
    <row r="176" spans="1:10">
      <c r="A176" s="40" t="s">
        <v>275</v>
      </c>
      <c r="B176" s="40" t="s">
        <v>276</v>
      </c>
      <c r="C176" s="40" t="s">
        <v>15</v>
      </c>
      <c r="D176" s="40" t="s">
        <v>36</v>
      </c>
      <c r="E176" s="40">
        <v>18578</v>
      </c>
      <c r="F176" s="40">
        <v>3715</v>
      </c>
      <c r="G176" s="40">
        <v>2392</v>
      </c>
      <c r="H176" s="40">
        <v>2229</v>
      </c>
      <c r="I176" s="40">
        <v>2251</v>
      </c>
      <c r="J176" s="40">
        <v>20205</v>
      </c>
    </row>
    <row r="177" spans="1:10">
      <c r="A177" s="40" t="s">
        <v>277</v>
      </c>
      <c r="B177" s="40" t="s">
        <v>213</v>
      </c>
      <c r="C177" s="40" t="s">
        <v>21</v>
      </c>
      <c r="D177" s="40" t="s">
        <v>36</v>
      </c>
      <c r="E177" s="40">
        <v>28036</v>
      </c>
      <c r="F177" s="40">
        <v>5607</v>
      </c>
      <c r="G177" s="40">
        <v>4056</v>
      </c>
      <c r="H177" s="40">
        <v>3364</v>
      </c>
      <c r="I177" s="40">
        <v>2529</v>
      </c>
      <c r="J177" s="40">
        <v>31806</v>
      </c>
    </row>
    <row r="178" spans="1:10">
      <c r="A178" s="40" t="s">
        <v>278</v>
      </c>
      <c r="B178" s="40" t="s">
        <v>213</v>
      </c>
      <c r="C178" s="40" t="s">
        <v>49</v>
      </c>
      <c r="D178" s="40" t="s">
        <v>16</v>
      </c>
      <c r="E178" s="40">
        <v>34761</v>
      </c>
      <c r="F178" s="40">
        <v>6952</v>
      </c>
      <c r="G178" s="40">
        <v>4444</v>
      </c>
      <c r="H178" s="40">
        <v>4171</v>
      </c>
      <c r="I178" s="40">
        <v>2662</v>
      </c>
      <c r="J178" s="40">
        <v>39324</v>
      </c>
    </row>
    <row r="179" spans="1:10">
      <c r="A179" s="40" t="s">
        <v>279</v>
      </c>
      <c r="B179" s="40" t="s">
        <v>95</v>
      </c>
      <c r="C179" s="40" t="s">
        <v>11</v>
      </c>
      <c r="D179" s="40" t="s">
        <v>16</v>
      </c>
      <c r="E179" s="40">
        <v>30390</v>
      </c>
      <c r="F179" s="40">
        <v>6078</v>
      </c>
      <c r="G179" s="40">
        <v>2198</v>
      </c>
      <c r="H179" s="40">
        <v>3646</v>
      </c>
      <c r="I179" s="40">
        <v>1258</v>
      </c>
      <c r="J179" s="40">
        <v>33762</v>
      </c>
    </row>
    <row r="180" spans="1:10">
      <c r="A180" s="40" t="s">
        <v>280</v>
      </c>
      <c r="B180" s="40" t="s">
        <v>30</v>
      </c>
      <c r="C180" s="40" t="s">
        <v>15</v>
      </c>
      <c r="D180" s="40" t="s">
        <v>36</v>
      </c>
      <c r="E180" s="40">
        <v>29394</v>
      </c>
      <c r="F180" s="40">
        <v>5878</v>
      </c>
      <c r="G180" s="40">
        <v>4837</v>
      </c>
      <c r="H180" s="40">
        <v>3527</v>
      </c>
      <c r="I180" s="40">
        <v>857</v>
      </c>
      <c r="J180" s="40">
        <v>35725</v>
      </c>
    </row>
    <row r="181" spans="1:10">
      <c r="A181" s="40" t="s">
        <v>281</v>
      </c>
      <c r="B181" s="40" t="s">
        <v>38</v>
      </c>
      <c r="C181" s="40" t="s">
        <v>21</v>
      </c>
      <c r="D181" s="40" t="s">
        <v>28</v>
      </c>
      <c r="E181" s="40">
        <v>56830</v>
      </c>
      <c r="F181" s="40">
        <v>11366</v>
      </c>
      <c r="G181" s="40">
        <v>1787</v>
      </c>
      <c r="H181" s="40">
        <v>6819</v>
      </c>
      <c r="I181" s="40">
        <v>1231</v>
      </c>
      <c r="J181" s="40">
        <v>61933</v>
      </c>
    </row>
    <row r="182" spans="1:10">
      <c r="A182" s="40" t="s">
        <v>282</v>
      </c>
      <c r="B182" s="40" t="s">
        <v>283</v>
      </c>
      <c r="C182" s="40" t="s">
        <v>33</v>
      </c>
      <c r="D182" s="40" t="s">
        <v>36</v>
      </c>
      <c r="E182" s="40">
        <v>57412</v>
      </c>
      <c r="F182" s="40">
        <v>11482</v>
      </c>
      <c r="G182" s="40">
        <v>3348</v>
      </c>
      <c r="H182" s="40">
        <v>6889</v>
      </c>
      <c r="I182" s="40">
        <v>696</v>
      </c>
      <c r="J182" s="40">
        <v>64657</v>
      </c>
    </row>
    <row r="183" spans="1:10">
      <c r="A183" s="40" t="s">
        <v>284</v>
      </c>
      <c r="B183" s="40" t="s">
        <v>149</v>
      </c>
      <c r="C183" s="40" t="s">
        <v>15</v>
      </c>
      <c r="D183" s="40" t="s">
        <v>28</v>
      </c>
      <c r="E183" s="40">
        <v>20587</v>
      </c>
      <c r="F183" s="40">
        <v>4117</v>
      </c>
      <c r="G183" s="40">
        <v>1219</v>
      </c>
      <c r="H183" s="40">
        <v>2470</v>
      </c>
      <c r="I183" s="40">
        <v>962</v>
      </c>
      <c r="J183" s="40">
        <v>22491</v>
      </c>
    </row>
    <row r="184" spans="1:10">
      <c r="A184" s="40" t="s">
        <v>285</v>
      </c>
      <c r="B184" s="40" t="s">
        <v>140</v>
      </c>
      <c r="C184" s="40" t="s">
        <v>49</v>
      </c>
      <c r="D184" s="40" t="s">
        <v>28</v>
      </c>
      <c r="E184" s="40">
        <v>53794</v>
      </c>
      <c r="F184" s="40">
        <v>10758</v>
      </c>
      <c r="G184" s="40">
        <v>2336</v>
      </c>
      <c r="H184" s="40">
        <v>6455</v>
      </c>
      <c r="I184" s="40">
        <v>2024</v>
      </c>
      <c r="J184" s="40">
        <v>58409</v>
      </c>
    </row>
    <row r="185" spans="1:10">
      <c r="A185" s="40" t="s">
        <v>286</v>
      </c>
      <c r="B185" s="40" t="s">
        <v>287</v>
      </c>
      <c r="C185" s="40" t="s">
        <v>11</v>
      </c>
      <c r="D185" s="40" t="s">
        <v>22</v>
      </c>
      <c r="E185" s="40">
        <v>43612</v>
      </c>
      <c r="F185" s="40">
        <v>8722</v>
      </c>
      <c r="G185" s="40">
        <v>3045</v>
      </c>
      <c r="H185" s="40">
        <v>5233</v>
      </c>
      <c r="I185" s="40">
        <v>1628</v>
      </c>
      <c r="J185" s="40">
        <v>48518</v>
      </c>
    </row>
    <row r="186" spans="1:10">
      <c r="A186" s="40" t="s">
        <v>288</v>
      </c>
      <c r="B186" s="40" t="s">
        <v>200</v>
      </c>
      <c r="C186" s="40" t="s">
        <v>11</v>
      </c>
      <c r="D186" s="40" t="s">
        <v>36</v>
      </c>
      <c r="E186" s="40">
        <v>44383</v>
      </c>
      <c r="F186" s="40">
        <v>8876</v>
      </c>
      <c r="G186" s="40">
        <v>3761</v>
      </c>
      <c r="H186" s="40">
        <v>5325</v>
      </c>
      <c r="I186" s="40">
        <v>2192</v>
      </c>
      <c r="J186" s="40">
        <v>49503</v>
      </c>
    </row>
    <row r="187" spans="1:10">
      <c r="A187" s="40" t="s">
        <v>289</v>
      </c>
      <c r="B187" s="40" t="s">
        <v>290</v>
      </c>
      <c r="C187" s="40" t="s">
        <v>21</v>
      </c>
      <c r="D187" s="40" t="s">
        <v>36</v>
      </c>
      <c r="E187" s="40">
        <v>51276</v>
      </c>
      <c r="F187" s="40">
        <v>10255</v>
      </c>
      <c r="G187" s="40">
        <v>1963</v>
      </c>
      <c r="H187" s="40">
        <v>6153</v>
      </c>
      <c r="I187" s="40">
        <v>581</v>
      </c>
      <c r="J187" s="40">
        <v>56760</v>
      </c>
    </row>
    <row r="188" spans="1:10">
      <c r="A188" s="40" t="s">
        <v>291</v>
      </c>
      <c r="B188" s="40" t="s">
        <v>60</v>
      </c>
      <c r="C188" s="40" t="s">
        <v>15</v>
      </c>
      <c r="D188" s="40" t="s">
        <v>12</v>
      </c>
      <c r="E188" s="40">
        <v>54652</v>
      </c>
      <c r="F188" s="40">
        <v>10930</v>
      </c>
      <c r="G188" s="40">
        <v>1502</v>
      </c>
      <c r="H188" s="40">
        <v>6558</v>
      </c>
      <c r="I188" s="40">
        <v>904</v>
      </c>
      <c r="J188" s="40">
        <v>59622</v>
      </c>
    </row>
    <row r="189" spans="1:10">
      <c r="A189" s="40" t="s">
        <v>292</v>
      </c>
      <c r="B189" s="40" t="s">
        <v>133</v>
      </c>
      <c r="C189" s="40" t="s">
        <v>25</v>
      </c>
      <c r="D189" s="40" t="s">
        <v>36</v>
      </c>
      <c r="E189" s="40">
        <v>58644</v>
      </c>
      <c r="F189" s="40">
        <v>11728</v>
      </c>
      <c r="G189" s="40">
        <v>1460</v>
      </c>
      <c r="H189" s="40">
        <v>7037</v>
      </c>
      <c r="I189" s="40">
        <v>2651</v>
      </c>
      <c r="J189" s="40">
        <v>62144</v>
      </c>
    </row>
    <row r="190" spans="1:10">
      <c r="A190" s="40" t="s">
        <v>293</v>
      </c>
      <c r="B190" s="40" t="s">
        <v>213</v>
      </c>
      <c r="C190" s="40" t="s">
        <v>15</v>
      </c>
      <c r="D190" s="40" t="s">
        <v>12</v>
      </c>
      <c r="E190" s="40">
        <v>44932</v>
      </c>
      <c r="F190" s="40">
        <v>8986</v>
      </c>
      <c r="G190" s="40">
        <v>3564</v>
      </c>
      <c r="H190" s="40">
        <v>5391</v>
      </c>
      <c r="I190" s="40">
        <v>1665</v>
      </c>
      <c r="J190" s="40">
        <v>50426</v>
      </c>
    </row>
    <row r="191" spans="1:10">
      <c r="A191" s="40" t="s">
        <v>294</v>
      </c>
      <c r="B191" s="40" t="s">
        <v>133</v>
      </c>
      <c r="C191" s="40" t="s">
        <v>21</v>
      </c>
      <c r="D191" s="40" t="s">
        <v>36</v>
      </c>
      <c r="E191" s="40">
        <v>48094</v>
      </c>
      <c r="F191" s="40">
        <v>9618</v>
      </c>
      <c r="G191" s="40">
        <v>4609</v>
      </c>
      <c r="H191" s="40">
        <v>5771</v>
      </c>
      <c r="I191" s="40">
        <v>890</v>
      </c>
      <c r="J191" s="40">
        <v>55660</v>
      </c>
    </row>
    <row r="192" spans="1:10">
      <c r="A192" s="40" t="s">
        <v>295</v>
      </c>
      <c r="B192" s="40" t="s">
        <v>174</v>
      </c>
      <c r="C192" s="40" t="s">
        <v>25</v>
      </c>
      <c r="D192" s="40" t="s">
        <v>22</v>
      </c>
      <c r="E192" s="40">
        <v>55690</v>
      </c>
      <c r="F192" s="40">
        <v>11138</v>
      </c>
      <c r="G192" s="40">
        <v>2908</v>
      </c>
      <c r="H192" s="40">
        <v>6682</v>
      </c>
      <c r="I192" s="40">
        <v>1016</v>
      </c>
      <c r="J192" s="40">
        <v>62038</v>
      </c>
    </row>
    <row r="193" spans="1:10">
      <c r="A193" s="40" t="s">
        <v>296</v>
      </c>
      <c r="B193" s="40" t="s">
        <v>67</v>
      </c>
      <c r="C193" s="40" t="s">
        <v>33</v>
      </c>
      <c r="D193" s="40" t="s">
        <v>28</v>
      </c>
      <c r="E193" s="40">
        <v>43682</v>
      </c>
      <c r="F193" s="40">
        <v>8736</v>
      </c>
      <c r="G193" s="40">
        <v>1092</v>
      </c>
      <c r="H193" s="40">
        <v>5241</v>
      </c>
      <c r="I193" s="40">
        <v>671</v>
      </c>
      <c r="J193" s="40">
        <v>47598</v>
      </c>
    </row>
    <row r="194" spans="1:10">
      <c r="A194" s="40" t="s">
        <v>297</v>
      </c>
      <c r="B194" s="40" t="s">
        <v>298</v>
      </c>
      <c r="C194" s="40" t="s">
        <v>49</v>
      </c>
      <c r="D194" s="40" t="s">
        <v>22</v>
      </c>
      <c r="E194" s="40">
        <v>45722</v>
      </c>
      <c r="F194" s="40">
        <v>9144</v>
      </c>
      <c r="G194" s="40">
        <v>1385</v>
      </c>
      <c r="H194" s="40">
        <v>5486</v>
      </c>
      <c r="I194" s="40">
        <v>2505</v>
      </c>
      <c r="J194" s="40">
        <v>48260</v>
      </c>
    </row>
    <row r="195" spans="1:10">
      <c r="A195" s="40" t="s">
        <v>299</v>
      </c>
      <c r="B195" s="40" t="s">
        <v>135</v>
      </c>
      <c r="C195" s="40" t="s">
        <v>21</v>
      </c>
      <c r="D195" s="40" t="s">
        <v>28</v>
      </c>
      <c r="E195" s="40">
        <v>44736</v>
      </c>
      <c r="F195" s="40">
        <v>8947</v>
      </c>
      <c r="G195" s="40">
        <v>1993</v>
      </c>
      <c r="H195" s="40">
        <v>5368</v>
      </c>
      <c r="I195" s="40">
        <v>2662</v>
      </c>
      <c r="J195" s="40">
        <v>47646</v>
      </c>
    </row>
    <row r="196" spans="1:10">
      <c r="A196" s="40" t="s">
        <v>300</v>
      </c>
      <c r="B196" s="40" t="s">
        <v>273</v>
      </c>
      <c r="C196" s="40" t="s">
        <v>33</v>
      </c>
      <c r="D196" s="40" t="s">
        <v>16</v>
      </c>
      <c r="E196" s="40">
        <v>20374</v>
      </c>
      <c r="F196" s="40">
        <v>4074</v>
      </c>
      <c r="G196" s="40">
        <v>3925</v>
      </c>
      <c r="H196" s="40">
        <v>2444</v>
      </c>
      <c r="I196" s="40">
        <v>1548</v>
      </c>
      <c r="J196" s="40">
        <v>24381</v>
      </c>
    </row>
    <row r="197" spans="1:10">
      <c r="A197" s="40" t="s">
        <v>301</v>
      </c>
      <c r="B197" s="40" t="s">
        <v>302</v>
      </c>
      <c r="C197" s="40" t="s">
        <v>21</v>
      </c>
      <c r="D197" s="40" t="s">
        <v>12</v>
      </c>
      <c r="E197" s="40">
        <v>23039</v>
      </c>
      <c r="F197" s="40">
        <v>4607</v>
      </c>
      <c r="G197" s="40">
        <v>2081</v>
      </c>
      <c r="H197" s="40">
        <v>2764</v>
      </c>
      <c r="I197" s="40">
        <v>1755</v>
      </c>
      <c r="J197" s="40">
        <v>25208</v>
      </c>
    </row>
    <row r="198" spans="1:10">
      <c r="A198" s="40" t="s">
        <v>303</v>
      </c>
      <c r="B198" s="40" t="s">
        <v>160</v>
      </c>
      <c r="C198" s="40" t="s">
        <v>33</v>
      </c>
      <c r="D198" s="40" t="s">
        <v>16</v>
      </c>
      <c r="E198" s="40">
        <v>36314</v>
      </c>
      <c r="F198" s="40">
        <v>7262</v>
      </c>
      <c r="G198" s="40">
        <v>1597</v>
      </c>
      <c r="H198" s="40">
        <v>4357</v>
      </c>
      <c r="I198" s="40">
        <v>653</v>
      </c>
      <c r="J198" s="40">
        <v>40163</v>
      </c>
    </row>
    <row r="199" spans="1:10">
      <c r="A199" s="40" t="s">
        <v>304</v>
      </c>
      <c r="B199" s="40" t="s">
        <v>204</v>
      </c>
      <c r="C199" s="40" t="s">
        <v>15</v>
      </c>
      <c r="D199" s="40" t="s">
        <v>12</v>
      </c>
      <c r="E199" s="40">
        <v>29950</v>
      </c>
      <c r="F199" s="40">
        <v>5990</v>
      </c>
      <c r="G199" s="40">
        <v>4887</v>
      </c>
      <c r="H199" s="40">
        <v>3594</v>
      </c>
      <c r="I199" s="40">
        <v>808</v>
      </c>
      <c r="J199" s="40">
        <v>36425</v>
      </c>
    </row>
    <row r="200" spans="1:10">
      <c r="A200" s="40" t="s">
        <v>305</v>
      </c>
      <c r="B200" s="40" t="s">
        <v>97</v>
      </c>
      <c r="C200" s="40" t="s">
        <v>49</v>
      </c>
      <c r="D200" s="40" t="s">
        <v>28</v>
      </c>
      <c r="E200" s="40">
        <v>40190</v>
      </c>
      <c r="F200" s="40">
        <v>8038</v>
      </c>
      <c r="G200" s="40">
        <v>1945</v>
      </c>
      <c r="H200" s="40">
        <v>4822</v>
      </c>
      <c r="I200" s="40">
        <v>2466</v>
      </c>
      <c r="J200" s="40">
        <v>42885</v>
      </c>
    </row>
    <row r="201" spans="1:10">
      <c r="A201" s="40" t="s">
        <v>306</v>
      </c>
      <c r="B201" s="40" t="s">
        <v>104</v>
      </c>
      <c r="C201" s="40" t="s">
        <v>21</v>
      </c>
      <c r="D201" s="40" t="s">
        <v>22</v>
      </c>
      <c r="E201" s="40">
        <v>40021</v>
      </c>
      <c r="F201" s="40">
        <v>8004</v>
      </c>
      <c r="G201" s="40">
        <v>2799</v>
      </c>
      <c r="H201" s="40">
        <v>4802</v>
      </c>
      <c r="I201" s="40">
        <v>509</v>
      </c>
      <c r="J201" s="40">
        <v>45513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01"/>
  <sheetViews>
    <sheetView zoomScale="85" zoomScaleNormal="85" workbookViewId="0">
      <selection activeCell="A21" sqref="A21"/>
    </sheetView>
  </sheetViews>
  <sheetFormatPr defaultRowHeight="14.4"/>
  <cols>
    <col min="1" max="1" width="15.109375" style="12" bestFit="1" customWidth="1"/>
    <col min="2" max="2" width="19.21875" style="12" bestFit="1" customWidth="1"/>
    <col min="3" max="3" width="14" style="12" bestFit="1" customWidth="1"/>
    <col min="4" max="4" width="14.44140625" style="12" bestFit="1" customWidth="1"/>
    <col min="5" max="5" width="15.109375" style="12" bestFit="1" customWidth="1"/>
    <col min="6" max="6" width="6" style="12" bestFit="1" customWidth="1"/>
    <col min="7" max="7" width="13.77734375" style="12" bestFit="1" customWidth="1"/>
    <col min="8" max="8" width="5" style="12" bestFit="1" customWidth="1"/>
    <col min="9" max="9" width="13.44140625" style="12" bestFit="1" customWidth="1"/>
    <col min="10" max="10" width="7.77734375" style="12" bestFit="1" customWidth="1"/>
    <col min="11" max="11" width="8.88671875" style="12"/>
    <col min="12" max="12" width="15" style="12" bestFit="1" customWidth="1"/>
    <col min="13" max="13" width="12.44140625" style="12" bestFit="1" customWidth="1"/>
    <col min="14" max="14" width="17.77734375" style="12" bestFit="1" customWidth="1"/>
    <col min="15" max="15" width="24" style="12" bestFit="1" customWidth="1"/>
    <col min="16" max="16" width="23" style="12" bestFit="1" customWidth="1"/>
    <col min="17" max="17" width="14.109375" style="12" bestFit="1" customWidth="1"/>
    <col min="18" max="18" width="16" style="12" bestFit="1" customWidth="1"/>
    <col min="19" max="19" width="12.44140625" style="12" bestFit="1" customWidth="1"/>
    <col min="20" max="22" width="8.88671875" style="12"/>
    <col min="23" max="23" width="15.21875" style="12" bestFit="1" customWidth="1"/>
    <col min="24" max="24" width="26.5546875" style="12" customWidth="1"/>
    <col min="25" max="26" width="8.88671875" style="12"/>
    <col min="27" max="27" width="9.21875" style="12" bestFit="1" customWidth="1"/>
    <col min="28" max="16384" width="8.88671875" style="12"/>
  </cols>
  <sheetData>
    <row r="1" spans="1:32" ht="18" thickBot="1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6" t="s">
        <v>5</v>
      </c>
      <c r="G1" s="24" t="s">
        <v>6</v>
      </c>
      <c r="H1" s="24" t="s">
        <v>7</v>
      </c>
      <c r="I1" s="27" t="s">
        <v>8</v>
      </c>
      <c r="J1" s="28" t="s">
        <v>307</v>
      </c>
      <c r="L1" s="35" t="s">
        <v>308</v>
      </c>
      <c r="M1" s="36" t="s">
        <v>309</v>
      </c>
      <c r="N1" s="36" t="s">
        <v>310</v>
      </c>
      <c r="O1" s="36" t="s">
        <v>311</v>
      </c>
      <c r="P1" s="36" t="s">
        <v>313</v>
      </c>
      <c r="Q1" s="37" t="s">
        <v>312</v>
      </c>
      <c r="R1" s="13"/>
      <c r="S1" s="38" t="s">
        <v>314</v>
      </c>
    </row>
    <row r="2" spans="1:32" ht="17.399999999999999">
      <c r="A2" s="22" t="s">
        <v>9</v>
      </c>
      <c r="B2" s="22" t="s">
        <v>10</v>
      </c>
      <c r="C2" s="22" t="s">
        <v>11</v>
      </c>
      <c r="D2" s="22" t="s">
        <v>12</v>
      </c>
      <c r="E2" s="22">
        <v>26626</v>
      </c>
      <c r="F2" s="22">
        <v>5325</v>
      </c>
      <c r="G2" s="22">
        <v>2857</v>
      </c>
      <c r="H2" s="22">
        <v>3195</v>
      </c>
      <c r="I2" s="22">
        <v>589</v>
      </c>
      <c r="J2" s="22">
        <v>31024</v>
      </c>
      <c r="L2" s="29">
        <f>E2+F2+J2</f>
        <v>62975</v>
      </c>
      <c r="M2" s="30">
        <f>L2-I2</f>
        <v>62386</v>
      </c>
      <c r="N2" s="31">
        <f>E2*10%</f>
        <v>2662.6000000000004</v>
      </c>
      <c r="O2" s="32">
        <f>E2*5%</f>
        <v>1331.3000000000002</v>
      </c>
      <c r="P2" s="33">
        <f>E2*1.05</f>
        <v>27957.300000000003</v>
      </c>
      <c r="Q2" s="34">
        <f>E2/(40*4)</f>
        <v>166.41249999999999</v>
      </c>
      <c r="S2" s="19">
        <f>E2/30</f>
        <v>887.5333333333333</v>
      </c>
      <c r="W2" s="14" t="s">
        <v>308</v>
      </c>
      <c r="X2" s="15" t="s">
        <v>315</v>
      </c>
    </row>
    <row r="3" spans="1:32" ht="17.399999999999999">
      <c r="A3" s="21" t="s">
        <v>13</v>
      </c>
      <c r="B3" s="21" t="s">
        <v>14</v>
      </c>
      <c r="C3" s="21" t="s">
        <v>15</v>
      </c>
      <c r="D3" s="21" t="s">
        <v>16</v>
      </c>
      <c r="E3" s="21">
        <v>45503</v>
      </c>
      <c r="F3" s="21">
        <v>9100</v>
      </c>
      <c r="G3" s="21">
        <v>1843</v>
      </c>
      <c r="H3" s="21">
        <v>5460</v>
      </c>
      <c r="I3" s="21">
        <v>1552</v>
      </c>
      <c r="J3" s="21">
        <v>49434</v>
      </c>
      <c r="L3" s="6">
        <f t="shared" ref="L3:L66" si="0">E3+F3+J3</f>
        <v>104037</v>
      </c>
      <c r="M3" s="7">
        <f t="shared" ref="M3:M66" si="1">L3-I3</f>
        <v>102485</v>
      </c>
      <c r="N3" s="8">
        <f t="shared" ref="N3:N66" si="2">E3*10%</f>
        <v>4550.3</v>
      </c>
      <c r="O3" s="9">
        <f t="shared" ref="O3:O66" si="3">E3*5%</f>
        <v>2275.15</v>
      </c>
      <c r="P3" s="10">
        <f t="shared" ref="P3:P66" si="4">E3*1.05</f>
        <v>47778.15</v>
      </c>
      <c r="Q3" s="11">
        <f t="shared" ref="Q3:Q66" si="5">E3/(40*4)</f>
        <v>284.39375000000001</v>
      </c>
      <c r="S3" s="19">
        <f t="shared" ref="S3:S66" si="6">E3/30</f>
        <v>1516.7666666666667</v>
      </c>
      <c r="W3" s="2" t="s">
        <v>309</v>
      </c>
      <c r="X3" s="16" t="s">
        <v>321</v>
      </c>
    </row>
    <row r="4" spans="1:32" ht="17.399999999999999">
      <c r="A4" s="21" t="s">
        <v>17</v>
      </c>
      <c r="B4" s="21" t="s">
        <v>18</v>
      </c>
      <c r="C4" s="21" t="s">
        <v>11</v>
      </c>
      <c r="D4" s="21" t="s">
        <v>16</v>
      </c>
      <c r="E4" s="21">
        <v>53938</v>
      </c>
      <c r="F4" s="21">
        <v>10787</v>
      </c>
      <c r="G4" s="21">
        <v>4851</v>
      </c>
      <c r="H4" s="21">
        <v>6472</v>
      </c>
      <c r="I4" s="21">
        <v>2058</v>
      </c>
      <c r="J4" s="21">
        <v>61046</v>
      </c>
      <c r="L4" s="6">
        <f t="shared" si="0"/>
        <v>125771</v>
      </c>
      <c r="M4" s="7">
        <f t="shared" si="1"/>
        <v>123713</v>
      </c>
      <c r="N4" s="8">
        <f t="shared" si="2"/>
        <v>5393.8</v>
      </c>
      <c r="O4" s="9">
        <f t="shared" si="3"/>
        <v>2696.9</v>
      </c>
      <c r="P4" s="10">
        <f t="shared" si="4"/>
        <v>56634.9</v>
      </c>
      <c r="Q4" s="11">
        <f t="shared" si="5"/>
        <v>337.11250000000001</v>
      </c>
      <c r="S4" s="19">
        <f t="shared" si="6"/>
        <v>1797.9333333333334</v>
      </c>
      <c r="W4" s="3" t="s">
        <v>310</v>
      </c>
      <c r="X4" s="16" t="s">
        <v>316</v>
      </c>
      <c r="Z4" s="62" t="s">
        <v>322</v>
      </c>
      <c r="AA4" s="62"/>
      <c r="AB4" s="62"/>
      <c r="AC4" s="62"/>
      <c r="AD4" s="62"/>
      <c r="AE4" s="62"/>
      <c r="AF4" s="62"/>
    </row>
    <row r="5" spans="1:32" ht="17.399999999999999">
      <c r="A5" s="21" t="s">
        <v>19</v>
      </c>
      <c r="B5" s="21" t="s">
        <v>20</v>
      </c>
      <c r="C5" s="21" t="s">
        <v>21</v>
      </c>
      <c r="D5" s="21" t="s">
        <v>22</v>
      </c>
      <c r="E5" s="21">
        <v>55165</v>
      </c>
      <c r="F5" s="21">
        <v>11033</v>
      </c>
      <c r="G5" s="21">
        <v>4218</v>
      </c>
      <c r="H5" s="21">
        <v>6619</v>
      </c>
      <c r="I5" s="21">
        <v>2129</v>
      </c>
      <c r="J5" s="21">
        <v>61668</v>
      </c>
      <c r="L5" s="6">
        <f t="shared" si="0"/>
        <v>127866</v>
      </c>
      <c r="M5" s="7">
        <f t="shared" si="1"/>
        <v>125737</v>
      </c>
      <c r="N5" s="8">
        <f t="shared" si="2"/>
        <v>5516.5</v>
      </c>
      <c r="O5" s="9">
        <f t="shared" si="3"/>
        <v>2758.25</v>
      </c>
      <c r="P5" s="10">
        <f t="shared" si="4"/>
        <v>57923.25</v>
      </c>
      <c r="Q5" s="11">
        <f t="shared" si="5"/>
        <v>344.78125</v>
      </c>
      <c r="S5" s="19">
        <f t="shared" si="6"/>
        <v>1838.8333333333333</v>
      </c>
      <c r="W5" s="1" t="s">
        <v>311</v>
      </c>
      <c r="X5" s="16" t="s">
        <v>317</v>
      </c>
      <c r="Z5" s="43"/>
      <c r="AA5" s="43"/>
      <c r="AB5" s="63">
        <f>SUM(M2:M201)</f>
        <v>17593431</v>
      </c>
      <c r="AC5" s="63"/>
      <c r="AD5" s="43"/>
    </row>
    <row r="6" spans="1:32" ht="17.399999999999999">
      <c r="A6" s="21" t="s">
        <v>23</v>
      </c>
      <c r="B6" s="21" t="s">
        <v>24</v>
      </c>
      <c r="C6" s="21" t="s">
        <v>25</v>
      </c>
      <c r="D6" s="21" t="s">
        <v>12</v>
      </c>
      <c r="E6" s="21">
        <v>42292</v>
      </c>
      <c r="F6" s="21">
        <v>8458</v>
      </c>
      <c r="G6" s="21">
        <v>3707</v>
      </c>
      <c r="H6" s="21">
        <v>5075</v>
      </c>
      <c r="I6" s="21">
        <v>1107</v>
      </c>
      <c r="J6" s="21">
        <v>48275</v>
      </c>
      <c r="L6" s="6">
        <f t="shared" si="0"/>
        <v>99025</v>
      </c>
      <c r="M6" s="7">
        <f t="shared" si="1"/>
        <v>97918</v>
      </c>
      <c r="N6" s="8">
        <f t="shared" si="2"/>
        <v>4229.2</v>
      </c>
      <c r="O6" s="9">
        <f t="shared" si="3"/>
        <v>2114.6</v>
      </c>
      <c r="P6" s="10">
        <f t="shared" si="4"/>
        <v>44406.6</v>
      </c>
      <c r="Q6" s="11">
        <f t="shared" si="5"/>
        <v>264.32499999999999</v>
      </c>
      <c r="S6" s="19">
        <f t="shared" si="6"/>
        <v>1409.7333333333333</v>
      </c>
      <c r="W6" s="4" t="s">
        <v>313</v>
      </c>
      <c r="X6" s="16" t="s">
        <v>318</v>
      </c>
    </row>
    <row r="7" spans="1:32" ht="17.399999999999999">
      <c r="A7" s="21" t="s">
        <v>26</v>
      </c>
      <c r="B7" s="21" t="s">
        <v>27</v>
      </c>
      <c r="C7" s="21" t="s">
        <v>21</v>
      </c>
      <c r="D7" s="21" t="s">
        <v>28</v>
      </c>
      <c r="E7" s="21">
        <v>15728</v>
      </c>
      <c r="F7" s="21">
        <v>3145</v>
      </c>
      <c r="G7" s="21">
        <v>2392</v>
      </c>
      <c r="H7" s="21">
        <v>1887</v>
      </c>
      <c r="I7" s="21">
        <v>1556</v>
      </c>
      <c r="J7" s="21">
        <v>17822</v>
      </c>
      <c r="L7" s="6">
        <f t="shared" si="0"/>
        <v>36695</v>
      </c>
      <c r="M7" s="7">
        <f t="shared" si="1"/>
        <v>35139</v>
      </c>
      <c r="N7" s="8">
        <f t="shared" si="2"/>
        <v>1572.8000000000002</v>
      </c>
      <c r="O7" s="9">
        <f t="shared" si="3"/>
        <v>786.40000000000009</v>
      </c>
      <c r="P7" s="10">
        <f t="shared" si="4"/>
        <v>16514.400000000001</v>
      </c>
      <c r="Q7" s="11">
        <f t="shared" si="5"/>
        <v>98.3</v>
      </c>
      <c r="S7" s="19">
        <f t="shared" si="6"/>
        <v>524.26666666666665</v>
      </c>
      <c r="W7" s="5" t="s">
        <v>312</v>
      </c>
      <c r="X7" s="16" t="s">
        <v>319</v>
      </c>
      <c r="Z7" s="64" t="s">
        <v>323</v>
      </c>
      <c r="AA7" s="64"/>
      <c r="AB7" s="64"/>
      <c r="AC7" s="64"/>
      <c r="AD7" s="64"/>
      <c r="AE7" s="64"/>
      <c r="AF7" s="64"/>
    </row>
    <row r="8" spans="1:32" ht="17.399999999999999">
      <c r="A8" s="21" t="s">
        <v>29</v>
      </c>
      <c r="B8" s="21" t="s">
        <v>30</v>
      </c>
      <c r="C8" s="21" t="s">
        <v>15</v>
      </c>
      <c r="D8" s="21" t="s">
        <v>28</v>
      </c>
      <c r="E8" s="21">
        <v>24044</v>
      </c>
      <c r="F8" s="21">
        <v>4808</v>
      </c>
      <c r="G8" s="21">
        <v>2353</v>
      </c>
      <c r="H8" s="21">
        <v>2885</v>
      </c>
      <c r="I8" s="21">
        <v>1826</v>
      </c>
      <c r="J8" s="21">
        <v>26494</v>
      </c>
      <c r="L8" s="6">
        <f t="shared" si="0"/>
        <v>55346</v>
      </c>
      <c r="M8" s="7">
        <f t="shared" si="1"/>
        <v>53520</v>
      </c>
      <c r="N8" s="8">
        <f t="shared" si="2"/>
        <v>2404.4</v>
      </c>
      <c r="O8" s="9">
        <f t="shared" si="3"/>
        <v>1202.2</v>
      </c>
      <c r="P8" s="10">
        <f t="shared" si="4"/>
        <v>25246.2</v>
      </c>
      <c r="Q8" s="11">
        <f t="shared" si="5"/>
        <v>150.27500000000001</v>
      </c>
      <c r="S8" s="19">
        <f t="shared" si="6"/>
        <v>801.4666666666667</v>
      </c>
      <c r="W8" s="17" t="s">
        <v>314</v>
      </c>
      <c r="X8" s="18" t="s">
        <v>320</v>
      </c>
      <c r="AB8" s="65">
        <f>COUNTIF(C2:C201,"IT")</f>
        <v>36</v>
      </c>
      <c r="AC8" s="65"/>
    </row>
    <row r="9" spans="1:32">
      <c r="A9" s="21" t="s">
        <v>31</v>
      </c>
      <c r="B9" s="21" t="s">
        <v>32</v>
      </c>
      <c r="C9" s="21" t="s">
        <v>33</v>
      </c>
      <c r="D9" s="21" t="s">
        <v>16</v>
      </c>
      <c r="E9" s="21">
        <v>36407</v>
      </c>
      <c r="F9" s="21">
        <v>7281</v>
      </c>
      <c r="G9" s="21">
        <v>1132</v>
      </c>
      <c r="H9" s="21">
        <v>4368</v>
      </c>
      <c r="I9" s="21">
        <v>1272</v>
      </c>
      <c r="J9" s="21">
        <v>39180</v>
      </c>
      <c r="L9" s="6">
        <f t="shared" si="0"/>
        <v>82868</v>
      </c>
      <c r="M9" s="7">
        <f t="shared" si="1"/>
        <v>81596</v>
      </c>
      <c r="N9" s="8">
        <f t="shared" si="2"/>
        <v>3640.7000000000003</v>
      </c>
      <c r="O9" s="9">
        <f t="shared" si="3"/>
        <v>1820.3500000000001</v>
      </c>
      <c r="P9" s="10">
        <f t="shared" si="4"/>
        <v>38227.35</v>
      </c>
      <c r="Q9" s="11">
        <f t="shared" si="5"/>
        <v>227.54374999999999</v>
      </c>
      <c r="S9" s="19">
        <f t="shared" si="6"/>
        <v>1213.5666666666666</v>
      </c>
    </row>
    <row r="10" spans="1:32">
      <c r="A10" s="21" t="s">
        <v>34</v>
      </c>
      <c r="B10" s="21" t="s">
        <v>35</v>
      </c>
      <c r="C10" s="21" t="s">
        <v>21</v>
      </c>
      <c r="D10" s="21" t="s">
        <v>36</v>
      </c>
      <c r="E10" s="21">
        <v>18268</v>
      </c>
      <c r="F10" s="21">
        <v>3653</v>
      </c>
      <c r="G10" s="21">
        <v>4479</v>
      </c>
      <c r="H10" s="21">
        <v>2192</v>
      </c>
      <c r="I10" s="21">
        <v>2026</v>
      </c>
      <c r="J10" s="21">
        <v>22182</v>
      </c>
      <c r="L10" s="6">
        <f t="shared" si="0"/>
        <v>44103</v>
      </c>
      <c r="M10" s="7">
        <f t="shared" si="1"/>
        <v>42077</v>
      </c>
      <c r="N10" s="8">
        <f t="shared" si="2"/>
        <v>1826.8000000000002</v>
      </c>
      <c r="O10" s="9">
        <f t="shared" si="3"/>
        <v>913.40000000000009</v>
      </c>
      <c r="P10" s="10">
        <f t="shared" si="4"/>
        <v>19181.400000000001</v>
      </c>
      <c r="Q10" s="11">
        <f t="shared" si="5"/>
        <v>114.175</v>
      </c>
      <c r="S10" s="19">
        <f t="shared" si="6"/>
        <v>608.93333333333328</v>
      </c>
      <c r="Z10" s="66" t="s">
        <v>324</v>
      </c>
      <c r="AA10" s="66"/>
      <c r="AB10" s="66"/>
      <c r="AC10" s="66"/>
      <c r="AD10" s="66"/>
      <c r="AE10" s="66"/>
      <c r="AF10" s="66"/>
    </row>
    <row r="11" spans="1:32">
      <c r="A11" s="21" t="s">
        <v>37</v>
      </c>
      <c r="B11" s="21" t="s">
        <v>38</v>
      </c>
      <c r="C11" s="21" t="s">
        <v>21</v>
      </c>
      <c r="D11" s="21" t="s">
        <v>12</v>
      </c>
      <c r="E11" s="21">
        <v>44721</v>
      </c>
      <c r="F11" s="21">
        <v>8944</v>
      </c>
      <c r="G11" s="21">
        <v>3217</v>
      </c>
      <c r="H11" s="21">
        <v>5366</v>
      </c>
      <c r="I11" s="21">
        <v>2620</v>
      </c>
      <c r="J11" s="21">
        <v>48896</v>
      </c>
      <c r="L11" s="6">
        <f t="shared" si="0"/>
        <v>102561</v>
      </c>
      <c r="M11" s="7">
        <f t="shared" si="1"/>
        <v>99941</v>
      </c>
      <c r="N11" s="8">
        <f t="shared" si="2"/>
        <v>4472.1000000000004</v>
      </c>
      <c r="O11" s="9">
        <f t="shared" si="3"/>
        <v>2236.0500000000002</v>
      </c>
      <c r="P11" s="10">
        <f t="shared" si="4"/>
        <v>46957.05</v>
      </c>
      <c r="Q11" s="11">
        <f t="shared" si="5"/>
        <v>279.50625000000002</v>
      </c>
      <c r="S11" s="19">
        <f t="shared" si="6"/>
        <v>1490.7</v>
      </c>
      <c r="AB11" s="56">
        <f>AVERAGE(E2:E201)</f>
        <v>38707.235000000001</v>
      </c>
      <c r="AC11" s="56"/>
    </row>
    <row r="12" spans="1:32">
      <c r="A12" s="21" t="s">
        <v>39</v>
      </c>
      <c r="B12" s="21" t="s">
        <v>40</v>
      </c>
      <c r="C12" s="21" t="s">
        <v>15</v>
      </c>
      <c r="D12" s="21" t="s">
        <v>12</v>
      </c>
      <c r="E12" s="21">
        <v>54259</v>
      </c>
      <c r="F12" s="21">
        <v>10851</v>
      </c>
      <c r="G12" s="21">
        <v>1009</v>
      </c>
      <c r="H12" s="21">
        <v>6511</v>
      </c>
      <c r="I12" s="21">
        <v>2363</v>
      </c>
      <c r="J12" s="21">
        <v>57245</v>
      </c>
      <c r="L12" s="6">
        <f t="shared" si="0"/>
        <v>122355</v>
      </c>
      <c r="M12" s="7">
        <f t="shared" si="1"/>
        <v>119992</v>
      </c>
      <c r="N12" s="8">
        <f t="shared" si="2"/>
        <v>5425.9000000000005</v>
      </c>
      <c r="O12" s="9">
        <f t="shared" si="3"/>
        <v>2712.9500000000003</v>
      </c>
      <c r="P12" s="10">
        <f t="shared" si="4"/>
        <v>56971.950000000004</v>
      </c>
      <c r="Q12" s="11">
        <f t="shared" si="5"/>
        <v>339.11874999999998</v>
      </c>
      <c r="S12" s="19">
        <f t="shared" si="6"/>
        <v>1808.6333333333334</v>
      </c>
    </row>
    <row r="13" spans="1:32">
      <c r="A13" s="21" t="s">
        <v>41</v>
      </c>
      <c r="B13" s="21" t="s">
        <v>42</v>
      </c>
      <c r="C13" s="21" t="s">
        <v>21</v>
      </c>
      <c r="D13" s="21" t="s">
        <v>16</v>
      </c>
      <c r="E13" s="21">
        <v>44325</v>
      </c>
      <c r="F13" s="21">
        <v>8865</v>
      </c>
      <c r="G13" s="21">
        <v>1916</v>
      </c>
      <c r="H13" s="21">
        <v>5319</v>
      </c>
      <c r="I13" s="21">
        <v>886</v>
      </c>
      <c r="J13" s="21">
        <v>48901</v>
      </c>
      <c r="L13" s="6">
        <f t="shared" si="0"/>
        <v>102091</v>
      </c>
      <c r="M13" s="7">
        <f t="shared" si="1"/>
        <v>101205</v>
      </c>
      <c r="N13" s="8">
        <f t="shared" si="2"/>
        <v>4432.5</v>
      </c>
      <c r="O13" s="9">
        <f t="shared" si="3"/>
        <v>2216.25</v>
      </c>
      <c r="P13" s="10">
        <f t="shared" si="4"/>
        <v>46541.25</v>
      </c>
      <c r="Q13" s="11">
        <f t="shared" si="5"/>
        <v>277.03125</v>
      </c>
      <c r="S13" s="19">
        <f t="shared" si="6"/>
        <v>1477.5</v>
      </c>
      <c r="Z13" s="57" t="s">
        <v>325</v>
      </c>
      <c r="AA13" s="57"/>
      <c r="AB13" s="57"/>
      <c r="AC13" s="57"/>
      <c r="AD13" s="57"/>
      <c r="AE13" s="57"/>
      <c r="AF13" s="57"/>
    </row>
    <row r="14" spans="1:32">
      <c r="A14" s="21" t="s">
        <v>43</v>
      </c>
      <c r="B14" s="21" t="s">
        <v>44</v>
      </c>
      <c r="C14" s="21" t="s">
        <v>33</v>
      </c>
      <c r="D14" s="21" t="s">
        <v>22</v>
      </c>
      <c r="E14" s="21">
        <v>50686</v>
      </c>
      <c r="F14" s="21">
        <v>10137</v>
      </c>
      <c r="G14" s="21">
        <v>2700</v>
      </c>
      <c r="H14" s="21">
        <v>6082</v>
      </c>
      <c r="I14" s="21">
        <v>1471</v>
      </c>
      <c r="J14" s="21">
        <v>55970</v>
      </c>
      <c r="L14" s="6">
        <f t="shared" si="0"/>
        <v>116793</v>
      </c>
      <c r="M14" s="7">
        <f t="shared" si="1"/>
        <v>115322</v>
      </c>
      <c r="N14" s="8">
        <f t="shared" si="2"/>
        <v>5068.6000000000004</v>
      </c>
      <c r="O14" s="9">
        <f t="shared" si="3"/>
        <v>2534.3000000000002</v>
      </c>
      <c r="P14" s="10">
        <f t="shared" si="4"/>
        <v>53220.3</v>
      </c>
      <c r="Q14" s="11">
        <f t="shared" si="5"/>
        <v>316.78750000000002</v>
      </c>
      <c r="S14" s="19">
        <f t="shared" si="6"/>
        <v>1689.5333333333333</v>
      </c>
      <c r="AB14" s="58">
        <f>MAX(M2:M201)</f>
        <v>134707</v>
      </c>
      <c r="AC14" s="58"/>
    </row>
    <row r="15" spans="1:32">
      <c r="A15" s="21" t="s">
        <v>45</v>
      </c>
      <c r="B15" s="21" t="s">
        <v>46</v>
      </c>
      <c r="C15" s="21" t="s">
        <v>15</v>
      </c>
      <c r="D15" s="21" t="s">
        <v>16</v>
      </c>
      <c r="E15" s="21">
        <v>21346</v>
      </c>
      <c r="F15" s="21">
        <v>4269</v>
      </c>
      <c r="G15" s="21">
        <v>4073</v>
      </c>
      <c r="H15" s="21">
        <v>2561</v>
      </c>
      <c r="I15" s="21">
        <v>2792</v>
      </c>
      <c r="J15" s="21">
        <v>24335</v>
      </c>
      <c r="L15" s="6">
        <f t="shared" si="0"/>
        <v>49950</v>
      </c>
      <c r="M15" s="7">
        <f t="shared" si="1"/>
        <v>47158</v>
      </c>
      <c r="N15" s="8">
        <f t="shared" si="2"/>
        <v>2134.6</v>
      </c>
      <c r="O15" s="9">
        <f t="shared" si="3"/>
        <v>1067.3</v>
      </c>
      <c r="P15" s="10">
        <f t="shared" si="4"/>
        <v>22413.3</v>
      </c>
      <c r="Q15" s="11">
        <f t="shared" si="5"/>
        <v>133.41249999999999</v>
      </c>
      <c r="S15" s="19">
        <f t="shared" si="6"/>
        <v>711.5333333333333</v>
      </c>
      <c r="Y15" s="44"/>
    </row>
    <row r="16" spans="1:32">
      <c r="A16" s="21" t="s">
        <v>47</v>
      </c>
      <c r="B16" s="21" t="s">
        <v>48</v>
      </c>
      <c r="C16" s="21" t="s">
        <v>49</v>
      </c>
      <c r="D16" s="21" t="s">
        <v>28</v>
      </c>
      <c r="E16" s="21">
        <v>44944</v>
      </c>
      <c r="F16" s="21">
        <v>8988</v>
      </c>
      <c r="G16" s="21">
        <v>4629</v>
      </c>
      <c r="H16" s="21">
        <v>5393</v>
      </c>
      <c r="I16" s="21">
        <v>2498</v>
      </c>
      <c r="J16" s="21">
        <v>50670</v>
      </c>
      <c r="L16" s="6">
        <f t="shared" si="0"/>
        <v>104602</v>
      </c>
      <c r="M16" s="7">
        <f t="shared" si="1"/>
        <v>102104</v>
      </c>
      <c r="N16" s="8">
        <f t="shared" si="2"/>
        <v>4494.4000000000005</v>
      </c>
      <c r="O16" s="9">
        <f t="shared" si="3"/>
        <v>2247.2000000000003</v>
      </c>
      <c r="P16" s="10">
        <f t="shared" si="4"/>
        <v>47191.200000000004</v>
      </c>
      <c r="Q16" s="11">
        <f t="shared" si="5"/>
        <v>280.89999999999998</v>
      </c>
      <c r="S16" s="19">
        <f t="shared" si="6"/>
        <v>1498.1333333333334</v>
      </c>
      <c r="Z16" s="59" t="s">
        <v>326</v>
      </c>
      <c r="AA16" s="59"/>
      <c r="AB16" s="59"/>
      <c r="AC16" s="59"/>
      <c r="AD16" s="59"/>
      <c r="AE16" s="59"/>
      <c r="AF16" s="59"/>
    </row>
    <row r="17" spans="1:32">
      <c r="A17" s="21" t="s">
        <v>50</v>
      </c>
      <c r="B17" s="21" t="s">
        <v>51</v>
      </c>
      <c r="C17" s="21" t="s">
        <v>11</v>
      </c>
      <c r="D17" s="21" t="s">
        <v>36</v>
      </c>
      <c r="E17" s="21">
        <v>18649</v>
      </c>
      <c r="F17" s="21">
        <v>3729</v>
      </c>
      <c r="G17" s="21">
        <v>3494</v>
      </c>
      <c r="H17" s="21">
        <v>2237</v>
      </c>
      <c r="I17" s="21">
        <v>1826</v>
      </c>
      <c r="J17" s="21">
        <v>21809</v>
      </c>
      <c r="L17" s="6">
        <f t="shared" si="0"/>
        <v>44187</v>
      </c>
      <c r="M17" s="7">
        <f t="shared" si="1"/>
        <v>42361</v>
      </c>
      <c r="N17" s="8">
        <f t="shared" si="2"/>
        <v>1864.9</v>
      </c>
      <c r="O17" s="9">
        <f t="shared" si="3"/>
        <v>932.45</v>
      </c>
      <c r="P17" s="10">
        <f t="shared" si="4"/>
        <v>19581.45</v>
      </c>
      <c r="Q17" s="11">
        <f t="shared" si="5"/>
        <v>116.55625000000001</v>
      </c>
      <c r="S17" s="19">
        <f t="shared" si="6"/>
        <v>621.63333333333333</v>
      </c>
      <c r="AB17" s="60">
        <f>MIN(M2:M201)</f>
        <v>32312</v>
      </c>
      <c r="AC17" s="60"/>
    </row>
    <row r="18" spans="1:32">
      <c r="A18" s="21" t="s">
        <v>52</v>
      </c>
      <c r="B18" s="21" t="s">
        <v>35</v>
      </c>
      <c r="C18" s="21" t="s">
        <v>11</v>
      </c>
      <c r="D18" s="21" t="s">
        <v>16</v>
      </c>
      <c r="E18" s="21">
        <v>53156</v>
      </c>
      <c r="F18" s="21">
        <v>10631</v>
      </c>
      <c r="G18" s="21">
        <v>4251</v>
      </c>
      <c r="H18" s="21">
        <v>6378</v>
      </c>
      <c r="I18" s="21">
        <v>2976</v>
      </c>
      <c r="J18" s="21">
        <v>58684</v>
      </c>
      <c r="L18" s="6">
        <f t="shared" si="0"/>
        <v>122471</v>
      </c>
      <c r="M18" s="7">
        <f t="shared" si="1"/>
        <v>119495</v>
      </c>
      <c r="N18" s="8">
        <f t="shared" si="2"/>
        <v>5315.6</v>
      </c>
      <c r="O18" s="9">
        <f t="shared" si="3"/>
        <v>2657.8</v>
      </c>
      <c r="P18" s="10">
        <f t="shared" si="4"/>
        <v>55813.8</v>
      </c>
      <c r="Q18" s="11">
        <f t="shared" si="5"/>
        <v>332.22500000000002</v>
      </c>
      <c r="S18" s="19">
        <f t="shared" si="6"/>
        <v>1771.8666666666666</v>
      </c>
    </row>
    <row r="19" spans="1:32">
      <c r="A19" s="21" t="s">
        <v>53</v>
      </c>
      <c r="B19" s="21" t="s">
        <v>54</v>
      </c>
      <c r="C19" s="21" t="s">
        <v>33</v>
      </c>
      <c r="D19" s="21" t="s">
        <v>36</v>
      </c>
      <c r="E19" s="21">
        <v>59466</v>
      </c>
      <c r="F19" s="21">
        <v>11893</v>
      </c>
      <c r="G19" s="21">
        <v>2332</v>
      </c>
      <c r="H19" s="21">
        <v>7135</v>
      </c>
      <c r="I19" s="21">
        <v>1604</v>
      </c>
      <c r="J19" s="21">
        <v>64952</v>
      </c>
      <c r="L19" s="6">
        <f t="shared" si="0"/>
        <v>136311</v>
      </c>
      <c r="M19" s="7">
        <f t="shared" si="1"/>
        <v>134707</v>
      </c>
      <c r="N19" s="8">
        <f t="shared" si="2"/>
        <v>5946.6</v>
      </c>
      <c r="O19" s="9">
        <f t="shared" si="3"/>
        <v>2973.3</v>
      </c>
      <c r="P19" s="10">
        <f t="shared" si="4"/>
        <v>62439.3</v>
      </c>
      <c r="Q19" s="11">
        <f t="shared" si="5"/>
        <v>371.66250000000002</v>
      </c>
      <c r="S19" s="19">
        <f t="shared" si="6"/>
        <v>1982.2</v>
      </c>
      <c r="Z19" s="61" t="s">
        <v>327</v>
      </c>
      <c r="AA19" s="61"/>
      <c r="AB19" s="61"/>
      <c r="AC19" s="61"/>
      <c r="AD19" s="61"/>
      <c r="AE19" s="61"/>
      <c r="AF19" s="61"/>
    </row>
    <row r="20" spans="1:32">
      <c r="A20" s="21" t="s">
        <v>55</v>
      </c>
      <c r="B20" s="21" t="s">
        <v>56</v>
      </c>
      <c r="C20" s="21" t="s">
        <v>33</v>
      </c>
      <c r="D20" s="21" t="s">
        <v>12</v>
      </c>
      <c r="E20" s="21">
        <v>52561</v>
      </c>
      <c r="F20" s="21">
        <v>10512</v>
      </c>
      <c r="G20" s="21">
        <v>1437</v>
      </c>
      <c r="H20" s="21">
        <v>6307</v>
      </c>
      <c r="I20" s="21">
        <v>2006</v>
      </c>
      <c r="J20" s="21">
        <v>56197</v>
      </c>
      <c r="L20" s="6">
        <f t="shared" si="0"/>
        <v>119270</v>
      </c>
      <c r="M20" s="7">
        <f t="shared" si="1"/>
        <v>117264</v>
      </c>
      <c r="N20" s="8">
        <f t="shared" si="2"/>
        <v>5256.1</v>
      </c>
      <c r="O20" s="9">
        <f t="shared" si="3"/>
        <v>2628.05</v>
      </c>
      <c r="P20" s="10">
        <f t="shared" si="4"/>
        <v>55189.05</v>
      </c>
      <c r="Q20" s="11">
        <f t="shared" si="5"/>
        <v>328.50625000000002</v>
      </c>
      <c r="S20" s="19">
        <f t="shared" si="6"/>
        <v>1752.0333333333333</v>
      </c>
      <c r="AB20" s="51">
        <f>SUM(H2:H201)</f>
        <v>928883</v>
      </c>
      <c r="AC20" s="51"/>
    </row>
    <row r="21" spans="1:32">
      <c r="A21" s="21" t="s">
        <v>57</v>
      </c>
      <c r="B21" s="21" t="s">
        <v>58</v>
      </c>
      <c r="C21" s="21" t="s">
        <v>25</v>
      </c>
      <c r="D21" s="21" t="s">
        <v>12</v>
      </c>
      <c r="E21" s="21">
        <v>59566</v>
      </c>
      <c r="F21" s="21">
        <v>11913</v>
      </c>
      <c r="G21" s="21">
        <v>2393</v>
      </c>
      <c r="H21" s="21">
        <v>7147</v>
      </c>
      <c r="I21" s="21">
        <v>2473</v>
      </c>
      <c r="J21" s="21">
        <v>64252</v>
      </c>
      <c r="L21" s="6">
        <f t="shared" si="0"/>
        <v>135731</v>
      </c>
      <c r="M21" s="7">
        <f t="shared" si="1"/>
        <v>133258</v>
      </c>
      <c r="N21" s="8">
        <f t="shared" si="2"/>
        <v>5956.6</v>
      </c>
      <c r="O21" s="9">
        <f t="shared" si="3"/>
        <v>2978.3</v>
      </c>
      <c r="P21" s="10">
        <f t="shared" si="4"/>
        <v>62544.3</v>
      </c>
      <c r="Q21" s="11">
        <f t="shared" si="5"/>
        <v>372.28750000000002</v>
      </c>
      <c r="S21" s="19">
        <f t="shared" si="6"/>
        <v>1985.5333333333333</v>
      </c>
    </row>
    <row r="22" spans="1:32">
      <c r="A22" s="21" t="s">
        <v>59</v>
      </c>
      <c r="B22" s="21" t="s">
        <v>60</v>
      </c>
      <c r="C22" s="21" t="s">
        <v>33</v>
      </c>
      <c r="D22" s="21" t="s">
        <v>16</v>
      </c>
      <c r="E22" s="21">
        <v>58194</v>
      </c>
      <c r="F22" s="21">
        <v>11638</v>
      </c>
      <c r="G22" s="21">
        <v>3214</v>
      </c>
      <c r="H22" s="21">
        <v>6983</v>
      </c>
      <c r="I22" s="21">
        <v>2659</v>
      </c>
      <c r="J22" s="21">
        <v>63404</v>
      </c>
      <c r="L22" s="6">
        <f t="shared" si="0"/>
        <v>133236</v>
      </c>
      <c r="M22" s="7">
        <f t="shared" si="1"/>
        <v>130577</v>
      </c>
      <c r="N22" s="8">
        <f t="shared" si="2"/>
        <v>5819.4000000000005</v>
      </c>
      <c r="O22" s="9">
        <f t="shared" si="3"/>
        <v>2909.7000000000003</v>
      </c>
      <c r="P22" s="10">
        <f t="shared" si="4"/>
        <v>61103.700000000004</v>
      </c>
      <c r="Q22" s="11">
        <f t="shared" si="5"/>
        <v>363.71249999999998</v>
      </c>
      <c r="S22" s="19">
        <f t="shared" si="6"/>
        <v>1939.8</v>
      </c>
      <c r="Z22" s="52" t="s">
        <v>328</v>
      </c>
      <c r="AA22" s="52"/>
      <c r="AB22" s="52"/>
      <c r="AC22" s="52"/>
      <c r="AD22" s="52"/>
      <c r="AE22" s="52"/>
      <c r="AF22" s="52"/>
    </row>
    <row r="23" spans="1:32">
      <c r="A23" s="21" t="s">
        <v>61</v>
      </c>
      <c r="B23" s="21" t="s">
        <v>62</v>
      </c>
      <c r="C23" s="21" t="s">
        <v>11</v>
      </c>
      <c r="D23" s="21" t="s">
        <v>36</v>
      </c>
      <c r="E23" s="21">
        <v>28614</v>
      </c>
      <c r="F23" s="21">
        <v>5722</v>
      </c>
      <c r="G23" s="21">
        <v>4201</v>
      </c>
      <c r="H23" s="21">
        <v>3433</v>
      </c>
      <c r="I23" s="21">
        <v>900</v>
      </c>
      <c r="J23" s="21">
        <v>34204</v>
      </c>
      <c r="L23" s="6">
        <f t="shared" si="0"/>
        <v>68540</v>
      </c>
      <c r="M23" s="7">
        <f t="shared" si="1"/>
        <v>67640</v>
      </c>
      <c r="N23" s="8">
        <f t="shared" si="2"/>
        <v>2861.4</v>
      </c>
      <c r="O23" s="9">
        <f t="shared" si="3"/>
        <v>1430.7</v>
      </c>
      <c r="P23" s="10">
        <f t="shared" si="4"/>
        <v>30044.7</v>
      </c>
      <c r="Q23" s="11">
        <f t="shared" si="5"/>
        <v>178.83750000000001</v>
      </c>
      <c r="S23" s="19">
        <f t="shared" si="6"/>
        <v>953.8</v>
      </c>
      <c r="AB23" s="53" t="str">
        <f>IF(M2&gt;50000,"High Paid","Normal")</f>
        <v>High Paid</v>
      </c>
      <c r="AC23" s="53"/>
    </row>
    <row r="24" spans="1:32">
      <c r="A24" s="21" t="s">
        <v>63</v>
      </c>
      <c r="B24" s="21" t="s">
        <v>64</v>
      </c>
      <c r="C24" s="21" t="s">
        <v>21</v>
      </c>
      <c r="D24" s="21" t="s">
        <v>22</v>
      </c>
      <c r="E24" s="21">
        <v>57939</v>
      </c>
      <c r="F24" s="21">
        <v>11587</v>
      </c>
      <c r="G24" s="21">
        <v>2009</v>
      </c>
      <c r="H24" s="21">
        <v>6952</v>
      </c>
      <c r="I24" s="21">
        <v>2705</v>
      </c>
      <c r="J24" s="21">
        <v>61878</v>
      </c>
      <c r="L24" s="6">
        <f t="shared" si="0"/>
        <v>131404</v>
      </c>
      <c r="M24" s="7">
        <f t="shared" si="1"/>
        <v>128699</v>
      </c>
      <c r="N24" s="8">
        <f t="shared" si="2"/>
        <v>5793.9000000000005</v>
      </c>
      <c r="O24" s="9">
        <f t="shared" si="3"/>
        <v>2896.9500000000003</v>
      </c>
      <c r="P24" s="10">
        <f t="shared" si="4"/>
        <v>60835.950000000004</v>
      </c>
      <c r="Q24" s="11">
        <f t="shared" si="5"/>
        <v>362.11874999999998</v>
      </c>
      <c r="S24" s="19">
        <f t="shared" si="6"/>
        <v>1931.3</v>
      </c>
    </row>
    <row r="25" spans="1:32">
      <c r="A25" s="21" t="s">
        <v>65</v>
      </c>
      <c r="B25" s="21" t="s">
        <v>44</v>
      </c>
      <c r="C25" s="21" t="s">
        <v>11</v>
      </c>
      <c r="D25" s="21" t="s">
        <v>36</v>
      </c>
      <c r="E25" s="21">
        <v>30807</v>
      </c>
      <c r="F25" s="21">
        <v>6161</v>
      </c>
      <c r="G25" s="21">
        <v>4281</v>
      </c>
      <c r="H25" s="21">
        <v>3696</v>
      </c>
      <c r="I25" s="21">
        <v>2285</v>
      </c>
      <c r="J25" s="21">
        <v>35268</v>
      </c>
      <c r="L25" s="6">
        <f t="shared" si="0"/>
        <v>72236</v>
      </c>
      <c r="M25" s="7">
        <f t="shared" si="1"/>
        <v>69951</v>
      </c>
      <c r="N25" s="8">
        <f t="shared" si="2"/>
        <v>3080.7000000000003</v>
      </c>
      <c r="O25" s="9">
        <f t="shared" si="3"/>
        <v>1540.3500000000001</v>
      </c>
      <c r="P25" s="10">
        <f t="shared" si="4"/>
        <v>32347.350000000002</v>
      </c>
      <c r="Q25" s="11">
        <f t="shared" si="5"/>
        <v>192.54374999999999</v>
      </c>
      <c r="S25" s="19">
        <f t="shared" si="6"/>
        <v>1026.9000000000001</v>
      </c>
      <c r="Z25" s="54" t="s">
        <v>329</v>
      </c>
      <c r="AA25" s="54"/>
      <c r="AB25" s="54"/>
      <c r="AC25" s="54"/>
      <c r="AD25" s="54"/>
      <c r="AE25" s="54"/>
      <c r="AF25" s="54"/>
    </row>
    <row r="26" spans="1:32">
      <c r="A26" s="21" t="s">
        <v>66</v>
      </c>
      <c r="B26" s="21" t="s">
        <v>67</v>
      </c>
      <c r="C26" s="21" t="s">
        <v>15</v>
      </c>
      <c r="D26" s="21" t="s">
        <v>16</v>
      </c>
      <c r="E26" s="21">
        <v>42127</v>
      </c>
      <c r="F26" s="21">
        <v>8425</v>
      </c>
      <c r="G26" s="21">
        <v>2541</v>
      </c>
      <c r="H26" s="21">
        <v>5055</v>
      </c>
      <c r="I26" s="21">
        <v>2058</v>
      </c>
      <c r="J26" s="21">
        <v>45980</v>
      </c>
      <c r="L26" s="6">
        <f t="shared" si="0"/>
        <v>96532</v>
      </c>
      <c r="M26" s="7">
        <f t="shared" si="1"/>
        <v>94474</v>
      </c>
      <c r="N26" s="8">
        <f t="shared" si="2"/>
        <v>4212.7</v>
      </c>
      <c r="O26" s="9">
        <f t="shared" si="3"/>
        <v>2106.35</v>
      </c>
      <c r="P26" s="10">
        <f t="shared" si="4"/>
        <v>44233.35</v>
      </c>
      <c r="Q26" s="11">
        <f t="shared" si="5"/>
        <v>263.29374999999999</v>
      </c>
      <c r="S26" s="19">
        <f t="shared" si="6"/>
        <v>1404.2333333333333</v>
      </c>
      <c r="AB26" s="55">
        <f>COUNTIF(D2:D201,"Manager")</f>
        <v>45</v>
      </c>
      <c r="AC26" s="55"/>
    </row>
    <row r="27" spans="1:32">
      <c r="A27" s="21" t="s">
        <v>68</v>
      </c>
      <c r="B27" s="21" t="s">
        <v>69</v>
      </c>
      <c r="C27" s="21" t="s">
        <v>33</v>
      </c>
      <c r="D27" s="21" t="s">
        <v>36</v>
      </c>
      <c r="E27" s="21">
        <v>56883</v>
      </c>
      <c r="F27" s="21">
        <v>11376</v>
      </c>
      <c r="G27" s="21">
        <v>2773</v>
      </c>
      <c r="H27" s="21">
        <v>6825</v>
      </c>
      <c r="I27" s="21">
        <v>2679</v>
      </c>
      <c r="J27" s="21">
        <v>61528</v>
      </c>
      <c r="L27" s="6">
        <f t="shared" si="0"/>
        <v>129787</v>
      </c>
      <c r="M27" s="7">
        <f t="shared" si="1"/>
        <v>127108</v>
      </c>
      <c r="N27" s="8">
        <f t="shared" si="2"/>
        <v>5688.3</v>
      </c>
      <c r="O27" s="9">
        <f t="shared" si="3"/>
        <v>2844.15</v>
      </c>
      <c r="P27" s="10">
        <f t="shared" si="4"/>
        <v>59727.15</v>
      </c>
      <c r="Q27" s="11">
        <f t="shared" si="5"/>
        <v>355.51875000000001</v>
      </c>
      <c r="S27" s="19">
        <f t="shared" si="6"/>
        <v>1896.1</v>
      </c>
    </row>
    <row r="28" spans="1:32">
      <c r="A28" s="21" t="s">
        <v>70</v>
      </c>
      <c r="B28" s="21" t="s">
        <v>71</v>
      </c>
      <c r="C28" s="21" t="s">
        <v>11</v>
      </c>
      <c r="D28" s="21" t="s">
        <v>28</v>
      </c>
      <c r="E28" s="21">
        <v>58854</v>
      </c>
      <c r="F28" s="21">
        <v>11770</v>
      </c>
      <c r="G28" s="21">
        <v>2337</v>
      </c>
      <c r="H28" s="21">
        <v>7062</v>
      </c>
      <c r="I28" s="21">
        <v>1153</v>
      </c>
      <c r="J28" s="21">
        <v>64746</v>
      </c>
      <c r="L28" s="6">
        <f t="shared" si="0"/>
        <v>135370</v>
      </c>
      <c r="M28" s="7">
        <f t="shared" si="1"/>
        <v>134217</v>
      </c>
      <c r="N28" s="8">
        <f t="shared" si="2"/>
        <v>5885.4000000000005</v>
      </c>
      <c r="O28" s="9">
        <f t="shared" si="3"/>
        <v>2942.7000000000003</v>
      </c>
      <c r="P28" s="10">
        <f t="shared" si="4"/>
        <v>61796.700000000004</v>
      </c>
      <c r="Q28" s="11">
        <f t="shared" si="5"/>
        <v>367.83749999999998</v>
      </c>
      <c r="S28" s="19">
        <f t="shared" si="6"/>
        <v>1961.8</v>
      </c>
    </row>
    <row r="29" spans="1:32">
      <c r="A29" s="21" t="s">
        <v>72</v>
      </c>
      <c r="B29" s="21" t="s">
        <v>73</v>
      </c>
      <c r="C29" s="21" t="s">
        <v>15</v>
      </c>
      <c r="D29" s="21" t="s">
        <v>28</v>
      </c>
      <c r="E29" s="21">
        <v>19071</v>
      </c>
      <c r="F29" s="21">
        <v>3814</v>
      </c>
      <c r="G29" s="21">
        <v>4441</v>
      </c>
      <c r="H29" s="21">
        <v>2288</v>
      </c>
      <c r="I29" s="21">
        <v>1464</v>
      </c>
      <c r="J29" s="21">
        <v>23574</v>
      </c>
      <c r="L29" s="6">
        <f t="shared" si="0"/>
        <v>46459</v>
      </c>
      <c r="M29" s="7">
        <f t="shared" si="1"/>
        <v>44995</v>
      </c>
      <c r="N29" s="8">
        <f t="shared" si="2"/>
        <v>1907.1000000000001</v>
      </c>
      <c r="O29" s="9">
        <f t="shared" si="3"/>
        <v>953.55000000000007</v>
      </c>
      <c r="P29" s="10">
        <f t="shared" si="4"/>
        <v>20024.55</v>
      </c>
      <c r="Q29" s="11">
        <f t="shared" si="5"/>
        <v>119.19374999999999</v>
      </c>
      <c r="S29" s="19">
        <f t="shared" si="6"/>
        <v>635.70000000000005</v>
      </c>
    </row>
    <row r="30" spans="1:32">
      <c r="A30" s="21" t="s">
        <v>74</v>
      </c>
      <c r="B30" s="21" t="s">
        <v>62</v>
      </c>
      <c r="C30" s="21" t="s">
        <v>49</v>
      </c>
      <c r="D30" s="21" t="s">
        <v>36</v>
      </c>
      <c r="E30" s="21">
        <v>18278</v>
      </c>
      <c r="F30" s="21">
        <v>3655</v>
      </c>
      <c r="G30" s="21">
        <v>4149</v>
      </c>
      <c r="H30" s="21">
        <v>2193</v>
      </c>
      <c r="I30" s="21">
        <v>1944</v>
      </c>
      <c r="J30" s="21">
        <v>21945</v>
      </c>
      <c r="L30" s="6">
        <f t="shared" si="0"/>
        <v>43878</v>
      </c>
      <c r="M30" s="7">
        <f t="shared" si="1"/>
        <v>41934</v>
      </c>
      <c r="N30" s="8">
        <f t="shared" si="2"/>
        <v>1827.8000000000002</v>
      </c>
      <c r="O30" s="9">
        <f t="shared" si="3"/>
        <v>913.90000000000009</v>
      </c>
      <c r="P30" s="10">
        <f t="shared" si="4"/>
        <v>19191.900000000001</v>
      </c>
      <c r="Q30" s="11">
        <f t="shared" si="5"/>
        <v>114.2375</v>
      </c>
      <c r="S30" s="19">
        <f t="shared" si="6"/>
        <v>609.26666666666665</v>
      </c>
    </row>
    <row r="31" spans="1:32">
      <c r="A31" s="21" t="s">
        <v>75</v>
      </c>
      <c r="B31" s="21" t="s">
        <v>64</v>
      </c>
      <c r="C31" s="21" t="s">
        <v>33</v>
      </c>
      <c r="D31" s="21" t="s">
        <v>36</v>
      </c>
      <c r="E31" s="21">
        <v>17050</v>
      </c>
      <c r="F31" s="21">
        <v>3410</v>
      </c>
      <c r="G31" s="21">
        <v>2485</v>
      </c>
      <c r="H31" s="21">
        <v>2046</v>
      </c>
      <c r="I31" s="21">
        <v>1141</v>
      </c>
      <c r="J31" s="21">
        <v>19758</v>
      </c>
      <c r="L31" s="6">
        <f t="shared" si="0"/>
        <v>40218</v>
      </c>
      <c r="M31" s="7">
        <f t="shared" si="1"/>
        <v>39077</v>
      </c>
      <c r="N31" s="8">
        <f t="shared" si="2"/>
        <v>1705</v>
      </c>
      <c r="O31" s="9">
        <f t="shared" si="3"/>
        <v>852.5</v>
      </c>
      <c r="P31" s="10">
        <f t="shared" si="4"/>
        <v>17902.5</v>
      </c>
      <c r="Q31" s="11">
        <f t="shared" si="5"/>
        <v>106.5625</v>
      </c>
      <c r="S31" s="19">
        <f t="shared" si="6"/>
        <v>568.33333333333337</v>
      </c>
    </row>
    <row r="32" spans="1:32">
      <c r="A32" s="21" t="s">
        <v>76</v>
      </c>
      <c r="B32" s="21" t="s">
        <v>77</v>
      </c>
      <c r="C32" s="21" t="s">
        <v>15</v>
      </c>
      <c r="D32" s="21" t="s">
        <v>12</v>
      </c>
      <c r="E32" s="21">
        <v>51234</v>
      </c>
      <c r="F32" s="21">
        <v>10246</v>
      </c>
      <c r="G32" s="21">
        <v>3535</v>
      </c>
      <c r="H32" s="21">
        <v>6148</v>
      </c>
      <c r="I32" s="21">
        <v>2453</v>
      </c>
      <c r="J32" s="21">
        <v>56414</v>
      </c>
      <c r="L32" s="6">
        <f t="shared" si="0"/>
        <v>117894</v>
      </c>
      <c r="M32" s="7">
        <f t="shared" si="1"/>
        <v>115441</v>
      </c>
      <c r="N32" s="8">
        <f t="shared" si="2"/>
        <v>5123.4000000000005</v>
      </c>
      <c r="O32" s="9">
        <f t="shared" si="3"/>
        <v>2561.7000000000003</v>
      </c>
      <c r="P32" s="10">
        <f t="shared" si="4"/>
        <v>53795.700000000004</v>
      </c>
      <c r="Q32" s="11">
        <f t="shared" si="5"/>
        <v>320.21249999999998</v>
      </c>
      <c r="S32" s="19">
        <f t="shared" si="6"/>
        <v>1707.8</v>
      </c>
    </row>
    <row r="33" spans="1:19">
      <c r="A33" s="21" t="s">
        <v>78</v>
      </c>
      <c r="B33" s="21" t="s">
        <v>79</v>
      </c>
      <c r="C33" s="21" t="s">
        <v>49</v>
      </c>
      <c r="D33" s="21" t="s">
        <v>36</v>
      </c>
      <c r="E33" s="21">
        <v>51981</v>
      </c>
      <c r="F33" s="21">
        <v>10396</v>
      </c>
      <c r="G33" s="21">
        <v>1887</v>
      </c>
      <c r="H33" s="21">
        <v>6237</v>
      </c>
      <c r="I33" s="21">
        <v>1021</v>
      </c>
      <c r="J33" s="21">
        <v>57006</v>
      </c>
      <c r="L33" s="6">
        <f t="shared" si="0"/>
        <v>119383</v>
      </c>
      <c r="M33" s="7">
        <f t="shared" si="1"/>
        <v>118362</v>
      </c>
      <c r="N33" s="8">
        <f t="shared" si="2"/>
        <v>5198.1000000000004</v>
      </c>
      <c r="O33" s="9">
        <f t="shared" si="3"/>
        <v>2599.0500000000002</v>
      </c>
      <c r="P33" s="10">
        <f t="shared" si="4"/>
        <v>54580.05</v>
      </c>
      <c r="Q33" s="11">
        <f t="shared" si="5"/>
        <v>324.88125000000002</v>
      </c>
      <c r="S33" s="19">
        <f t="shared" si="6"/>
        <v>1732.7</v>
      </c>
    </row>
    <row r="34" spans="1:19">
      <c r="A34" s="21" t="s">
        <v>80</v>
      </c>
      <c r="B34" s="21" t="s">
        <v>81</v>
      </c>
      <c r="C34" s="21" t="s">
        <v>25</v>
      </c>
      <c r="D34" s="21" t="s">
        <v>28</v>
      </c>
      <c r="E34" s="21">
        <v>41660</v>
      </c>
      <c r="F34" s="21">
        <v>8332</v>
      </c>
      <c r="G34" s="21">
        <v>4060</v>
      </c>
      <c r="H34" s="21">
        <v>4999</v>
      </c>
      <c r="I34" s="21">
        <v>2211</v>
      </c>
      <c r="J34" s="21">
        <v>46842</v>
      </c>
      <c r="L34" s="6">
        <f t="shared" si="0"/>
        <v>96834</v>
      </c>
      <c r="M34" s="7">
        <f t="shared" si="1"/>
        <v>94623</v>
      </c>
      <c r="N34" s="8">
        <f t="shared" si="2"/>
        <v>4166</v>
      </c>
      <c r="O34" s="9">
        <f t="shared" si="3"/>
        <v>2083</v>
      </c>
      <c r="P34" s="10">
        <f t="shared" si="4"/>
        <v>43743</v>
      </c>
      <c r="Q34" s="11">
        <f t="shared" si="5"/>
        <v>260.375</v>
      </c>
      <c r="S34" s="19">
        <f t="shared" si="6"/>
        <v>1388.6666666666667</v>
      </c>
    </row>
    <row r="35" spans="1:19">
      <c r="A35" s="21" t="s">
        <v>82</v>
      </c>
      <c r="B35" s="21" t="s">
        <v>83</v>
      </c>
      <c r="C35" s="21" t="s">
        <v>49</v>
      </c>
      <c r="D35" s="21" t="s">
        <v>16</v>
      </c>
      <c r="E35" s="21">
        <v>20162</v>
      </c>
      <c r="F35" s="21">
        <v>4032</v>
      </c>
      <c r="G35" s="21">
        <v>4304</v>
      </c>
      <c r="H35" s="21">
        <v>2419</v>
      </c>
      <c r="I35" s="21">
        <v>1175</v>
      </c>
      <c r="J35" s="21">
        <v>24904</v>
      </c>
      <c r="L35" s="6">
        <f t="shared" si="0"/>
        <v>49098</v>
      </c>
      <c r="M35" s="7">
        <f t="shared" si="1"/>
        <v>47923</v>
      </c>
      <c r="N35" s="8">
        <f t="shared" si="2"/>
        <v>2016.2</v>
      </c>
      <c r="O35" s="9">
        <f t="shared" si="3"/>
        <v>1008.1</v>
      </c>
      <c r="P35" s="10">
        <f t="shared" si="4"/>
        <v>21170.100000000002</v>
      </c>
      <c r="Q35" s="11">
        <f t="shared" si="5"/>
        <v>126.0125</v>
      </c>
      <c r="S35" s="19">
        <f t="shared" si="6"/>
        <v>672.06666666666672</v>
      </c>
    </row>
    <row r="36" spans="1:19">
      <c r="A36" s="21" t="s">
        <v>84</v>
      </c>
      <c r="B36" s="21" t="s">
        <v>85</v>
      </c>
      <c r="C36" s="21" t="s">
        <v>15</v>
      </c>
      <c r="D36" s="21" t="s">
        <v>28</v>
      </c>
      <c r="E36" s="21">
        <v>32418</v>
      </c>
      <c r="F36" s="21">
        <v>6483</v>
      </c>
      <c r="G36" s="21">
        <v>4095</v>
      </c>
      <c r="H36" s="21">
        <v>3890</v>
      </c>
      <c r="I36" s="21">
        <v>860</v>
      </c>
      <c r="J36" s="21">
        <v>38246</v>
      </c>
      <c r="L36" s="6">
        <f t="shared" si="0"/>
        <v>77147</v>
      </c>
      <c r="M36" s="7">
        <f t="shared" si="1"/>
        <v>76287</v>
      </c>
      <c r="N36" s="8">
        <f t="shared" si="2"/>
        <v>3241.8</v>
      </c>
      <c r="O36" s="9">
        <f t="shared" si="3"/>
        <v>1620.9</v>
      </c>
      <c r="P36" s="10">
        <f t="shared" si="4"/>
        <v>34038.9</v>
      </c>
      <c r="Q36" s="11">
        <f t="shared" si="5"/>
        <v>202.61250000000001</v>
      </c>
      <c r="S36" s="19">
        <f t="shared" si="6"/>
        <v>1080.5999999999999</v>
      </c>
    </row>
    <row r="37" spans="1:19">
      <c r="A37" s="21" t="s">
        <v>86</v>
      </c>
      <c r="B37" s="21" t="s">
        <v>87</v>
      </c>
      <c r="C37" s="21" t="s">
        <v>15</v>
      </c>
      <c r="D37" s="21" t="s">
        <v>16</v>
      </c>
      <c r="E37" s="21">
        <v>54719</v>
      </c>
      <c r="F37" s="21">
        <v>10943</v>
      </c>
      <c r="G37" s="21">
        <v>2180</v>
      </c>
      <c r="H37" s="21">
        <v>6566</v>
      </c>
      <c r="I37" s="21">
        <v>2410</v>
      </c>
      <c r="J37" s="21">
        <v>58866</v>
      </c>
      <c r="L37" s="6">
        <f t="shared" si="0"/>
        <v>124528</v>
      </c>
      <c r="M37" s="7">
        <f t="shared" si="1"/>
        <v>122118</v>
      </c>
      <c r="N37" s="8">
        <f t="shared" si="2"/>
        <v>5471.9000000000005</v>
      </c>
      <c r="O37" s="9">
        <f t="shared" si="3"/>
        <v>2735.9500000000003</v>
      </c>
      <c r="P37" s="10">
        <f t="shared" si="4"/>
        <v>57454.950000000004</v>
      </c>
      <c r="Q37" s="11">
        <f t="shared" si="5"/>
        <v>341.99374999999998</v>
      </c>
      <c r="S37" s="19">
        <f t="shared" si="6"/>
        <v>1823.9666666666667</v>
      </c>
    </row>
    <row r="38" spans="1:19">
      <c r="A38" s="21" t="s">
        <v>88</v>
      </c>
      <c r="B38" s="21" t="s">
        <v>30</v>
      </c>
      <c r="C38" s="21" t="s">
        <v>21</v>
      </c>
      <c r="D38" s="21" t="s">
        <v>28</v>
      </c>
      <c r="E38" s="21">
        <v>48630</v>
      </c>
      <c r="F38" s="21">
        <v>9726</v>
      </c>
      <c r="G38" s="21">
        <v>1584</v>
      </c>
      <c r="H38" s="21">
        <v>5835</v>
      </c>
      <c r="I38" s="21">
        <v>2042</v>
      </c>
      <c r="J38" s="21">
        <v>52063</v>
      </c>
      <c r="L38" s="6">
        <f t="shared" si="0"/>
        <v>110419</v>
      </c>
      <c r="M38" s="7">
        <f t="shared" si="1"/>
        <v>108377</v>
      </c>
      <c r="N38" s="8">
        <f t="shared" si="2"/>
        <v>4863</v>
      </c>
      <c r="O38" s="9">
        <f t="shared" si="3"/>
        <v>2431.5</v>
      </c>
      <c r="P38" s="10">
        <f t="shared" si="4"/>
        <v>51061.5</v>
      </c>
      <c r="Q38" s="11">
        <f t="shared" si="5"/>
        <v>303.9375</v>
      </c>
      <c r="S38" s="19">
        <f t="shared" si="6"/>
        <v>1621</v>
      </c>
    </row>
    <row r="39" spans="1:19">
      <c r="A39" s="21" t="s">
        <v>89</v>
      </c>
      <c r="B39" s="21" t="s">
        <v>77</v>
      </c>
      <c r="C39" s="21" t="s">
        <v>49</v>
      </c>
      <c r="D39" s="21" t="s">
        <v>36</v>
      </c>
      <c r="E39" s="21">
        <v>19887</v>
      </c>
      <c r="F39" s="21">
        <v>3977</v>
      </c>
      <c r="G39" s="21">
        <v>4132</v>
      </c>
      <c r="H39" s="21">
        <v>2386</v>
      </c>
      <c r="I39" s="21">
        <v>1698</v>
      </c>
      <c r="J39" s="21">
        <v>23912</v>
      </c>
      <c r="L39" s="6">
        <f t="shared" si="0"/>
        <v>47776</v>
      </c>
      <c r="M39" s="7">
        <f t="shared" si="1"/>
        <v>46078</v>
      </c>
      <c r="N39" s="8">
        <f t="shared" si="2"/>
        <v>1988.7</v>
      </c>
      <c r="O39" s="9">
        <f t="shared" si="3"/>
        <v>994.35</v>
      </c>
      <c r="P39" s="10">
        <f t="shared" si="4"/>
        <v>20881.350000000002</v>
      </c>
      <c r="Q39" s="11">
        <f t="shared" si="5"/>
        <v>124.29375</v>
      </c>
      <c r="S39" s="19">
        <f t="shared" si="6"/>
        <v>662.9</v>
      </c>
    </row>
    <row r="40" spans="1:19">
      <c r="A40" s="21" t="s">
        <v>90</v>
      </c>
      <c r="B40" s="21" t="s">
        <v>91</v>
      </c>
      <c r="C40" s="21" t="s">
        <v>11</v>
      </c>
      <c r="D40" s="21" t="s">
        <v>36</v>
      </c>
      <c r="E40" s="21">
        <v>30856</v>
      </c>
      <c r="F40" s="21">
        <v>6171</v>
      </c>
      <c r="G40" s="21">
        <v>4916</v>
      </c>
      <c r="H40" s="21">
        <v>3702</v>
      </c>
      <c r="I40" s="21">
        <v>670</v>
      </c>
      <c r="J40" s="21">
        <v>37571</v>
      </c>
      <c r="L40" s="6">
        <f t="shared" si="0"/>
        <v>74598</v>
      </c>
      <c r="M40" s="7">
        <f t="shared" si="1"/>
        <v>73928</v>
      </c>
      <c r="N40" s="8">
        <f t="shared" si="2"/>
        <v>3085.6000000000004</v>
      </c>
      <c r="O40" s="9">
        <f t="shared" si="3"/>
        <v>1542.8000000000002</v>
      </c>
      <c r="P40" s="10">
        <f t="shared" si="4"/>
        <v>32398.800000000003</v>
      </c>
      <c r="Q40" s="11">
        <f t="shared" si="5"/>
        <v>192.85</v>
      </c>
      <c r="S40" s="19">
        <f t="shared" si="6"/>
        <v>1028.5333333333333</v>
      </c>
    </row>
    <row r="41" spans="1:19">
      <c r="A41" s="21" t="s">
        <v>92</v>
      </c>
      <c r="B41" s="21" t="s">
        <v>93</v>
      </c>
      <c r="C41" s="21" t="s">
        <v>11</v>
      </c>
      <c r="D41" s="21" t="s">
        <v>16</v>
      </c>
      <c r="E41" s="21">
        <v>25645</v>
      </c>
      <c r="F41" s="21">
        <v>5129</v>
      </c>
      <c r="G41" s="21">
        <v>3679</v>
      </c>
      <c r="H41" s="21">
        <v>3077</v>
      </c>
      <c r="I41" s="21">
        <v>1318</v>
      </c>
      <c r="J41" s="21">
        <v>30058</v>
      </c>
      <c r="L41" s="6">
        <f t="shared" si="0"/>
        <v>60832</v>
      </c>
      <c r="M41" s="7">
        <f t="shared" si="1"/>
        <v>59514</v>
      </c>
      <c r="N41" s="8">
        <f t="shared" si="2"/>
        <v>2564.5</v>
      </c>
      <c r="O41" s="9">
        <f t="shared" si="3"/>
        <v>1282.25</v>
      </c>
      <c r="P41" s="10">
        <f t="shared" si="4"/>
        <v>26927.25</v>
      </c>
      <c r="Q41" s="11">
        <f t="shared" si="5"/>
        <v>160.28125</v>
      </c>
      <c r="S41" s="19">
        <f t="shared" si="6"/>
        <v>854.83333333333337</v>
      </c>
    </row>
    <row r="42" spans="1:19">
      <c r="A42" s="21" t="s">
        <v>94</v>
      </c>
      <c r="B42" s="21" t="s">
        <v>95</v>
      </c>
      <c r="C42" s="21" t="s">
        <v>33</v>
      </c>
      <c r="D42" s="21" t="s">
        <v>36</v>
      </c>
      <c r="E42" s="21">
        <v>57521</v>
      </c>
      <c r="F42" s="21">
        <v>11504</v>
      </c>
      <c r="G42" s="21">
        <v>4002</v>
      </c>
      <c r="H42" s="21">
        <v>6902</v>
      </c>
      <c r="I42" s="21">
        <v>1251</v>
      </c>
      <c r="J42" s="21">
        <v>64874</v>
      </c>
      <c r="L42" s="6">
        <f t="shared" si="0"/>
        <v>133899</v>
      </c>
      <c r="M42" s="7">
        <f t="shared" si="1"/>
        <v>132648</v>
      </c>
      <c r="N42" s="8">
        <f t="shared" si="2"/>
        <v>5752.1</v>
      </c>
      <c r="O42" s="9">
        <f t="shared" si="3"/>
        <v>2876.05</v>
      </c>
      <c r="P42" s="10">
        <f t="shared" si="4"/>
        <v>60397.05</v>
      </c>
      <c r="Q42" s="11">
        <f t="shared" si="5"/>
        <v>359.50625000000002</v>
      </c>
      <c r="S42" s="19">
        <f t="shared" si="6"/>
        <v>1917.3666666666666</v>
      </c>
    </row>
    <row r="43" spans="1:19">
      <c r="A43" s="21" t="s">
        <v>96</v>
      </c>
      <c r="B43" s="21" t="s">
        <v>97</v>
      </c>
      <c r="C43" s="21" t="s">
        <v>15</v>
      </c>
      <c r="D43" s="21" t="s">
        <v>22</v>
      </c>
      <c r="E43" s="21">
        <v>50770</v>
      </c>
      <c r="F43" s="21">
        <v>10154</v>
      </c>
      <c r="G43" s="21">
        <v>4829</v>
      </c>
      <c r="H43" s="21">
        <v>6092</v>
      </c>
      <c r="I43" s="21">
        <v>1054</v>
      </c>
      <c r="J43" s="21">
        <v>58607</v>
      </c>
      <c r="L43" s="6">
        <f t="shared" si="0"/>
        <v>119531</v>
      </c>
      <c r="M43" s="7">
        <f t="shared" si="1"/>
        <v>118477</v>
      </c>
      <c r="N43" s="8">
        <f t="shared" si="2"/>
        <v>5077</v>
      </c>
      <c r="O43" s="9">
        <f t="shared" si="3"/>
        <v>2538.5</v>
      </c>
      <c r="P43" s="10">
        <f t="shared" si="4"/>
        <v>53308.5</v>
      </c>
      <c r="Q43" s="11">
        <f t="shared" si="5"/>
        <v>317.3125</v>
      </c>
      <c r="S43" s="19">
        <f t="shared" si="6"/>
        <v>1692.3333333333333</v>
      </c>
    </row>
    <row r="44" spans="1:19">
      <c r="A44" s="21" t="s">
        <v>98</v>
      </c>
      <c r="B44" s="21" t="s">
        <v>27</v>
      </c>
      <c r="C44" s="21" t="s">
        <v>21</v>
      </c>
      <c r="D44" s="21" t="s">
        <v>16</v>
      </c>
      <c r="E44" s="21">
        <v>21748</v>
      </c>
      <c r="F44" s="21">
        <v>4349</v>
      </c>
      <c r="G44" s="21">
        <v>2199</v>
      </c>
      <c r="H44" s="21">
        <v>2609</v>
      </c>
      <c r="I44" s="21">
        <v>2438</v>
      </c>
      <c r="J44" s="21">
        <v>23249</v>
      </c>
      <c r="L44" s="6">
        <f t="shared" si="0"/>
        <v>49346</v>
      </c>
      <c r="M44" s="7">
        <f t="shared" si="1"/>
        <v>46908</v>
      </c>
      <c r="N44" s="8">
        <f t="shared" si="2"/>
        <v>2174.8000000000002</v>
      </c>
      <c r="O44" s="9">
        <f t="shared" si="3"/>
        <v>1087.4000000000001</v>
      </c>
      <c r="P44" s="10">
        <f t="shared" si="4"/>
        <v>22835.4</v>
      </c>
      <c r="Q44" s="11">
        <f t="shared" si="5"/>
        <v>135.92500000000001</v>
      </c>
      <c r="S44" s="19">
        <f t="shared" si="6"/>
        <v>724.93333333333328</v>
      </c>
    </row>
    <row r="45" spans="1:19">
      <c r="A45" s="21" t="s">
        <v>99</v>
      </c>
      <c r="B45" s="21" t="s">
        <v>100</v>
      </c>
      <c r="C45" s="21" t="s">
        <v>49</v>
      </c>
      <c r="D45" s="21" t="s">
        <v>16</v>
      </c>
      <c r="E45" s="21">
        <v>43679</v>
      </c>
      <c r="F45" s="21">
        <v>8735</v>
      </c>
      <c r="G45" s="21">
        <v>4135</v>
      </c>
      <c r="H45" s="21">
        <v>5241</v>
      </c>
      <c r="I45" s="21">
        <v>536</v>
      </c>
      <c r="J45" s="21">
        <v>50772</v>
      </c>
      <c r="L45" s="6">
        <f t="shared" si="0"/>
        <v>103186</v>
      </c>
      <c r="M45" s="7">
        <f t="shared" si="1"/>
        <v>102650</v>
      </c>
      <c r="N45" s="8">
        <f t="shared" si="2"/>
        <v>4367.9000000000005</v>
      </c>
      <c r="O45" s="9">
        <f t="shared" si="3"/>
        <v>2183.9500000000003</v>
      </c>
      <c r="P45" s="10">
        <f t="shared" si="4"/>
        <v>45862.950000000004</v>
      </c>
      <c r="Q45" s="11">
        <f t="shared" si="5"/>
        <v>272.99374999999998</v>
      </c>
      <c r="S45" s="19">
        <f t="shared" si="6"/>
        <v>1455.9666666666667</v>
      </c>
    </row>
    <row r="46" spans="1:19">
      <c r="A46" s="21" t="s">
        <v>101</v>
      </c>
      <c r="B46" s="21" t="s">
        <v>102</v>
      </c>
      <c r="C46" s="21" t="s">
        <v>21</v>
      </c>
      <c r="D46" s="21" t="s">
        <v>12</v>
      </c>
      <c r="E46" s="21">
        <v>32609</v>
      </c>
      <c r="F46" s="21">
        <v>6521</v>
      </c>
      <c r="G46" s="21">
        <v>1997</v>
      </c>
      <c r="H46" s="21">
        <v>3913</v>
      </c>
      <c r="I46" s="21">
        <v>992</v>
      </c>
      <c r="J46" s="21">
        <v>36222</v>
      </c>
      <c r="L46" s="6">
        <f t="shared" si="0"/>
        <v>75352</v>
      </c>
      <c r="M46" s="7">
        <f t="shared" si="1"/>
        <v>74360</v>
      </c>
      <c r="N46" s="8">
        <f t="shared" si="2"/>
        <v>3260.9</v>
      </c>
      <c r="O46" s="9">
        <f t="shared" si="3"/>
        <v>1630.45</v>
      </c>
      <c r="P46" s="10">
        <f t="shared" si="4"/>
        <v>34239.450000000004</v>
      </c>
      <c r="Q46" s="11">
        <f t="shared" si="5"/>
        <v>203.80625000000001</v>
      </c>
      <c r="S46" s="19">
        <f t="shared" si="6"/>
        <v>1086.9666666666667</v>
      </c>
    </row>
    <row r="47" spans="1:19">
      <c r="A47" s="21" t="s">
        <v>103</v>
      </c>
      <c r="B47" s="21" t="s">
        <v>104</v>
      </c>
      <c r="C47" s="21" t="s">
        <v>15</v>
      </c>
      <c r="D47" s="21" t="s">
        <v>28</v>
      </c>
      <c r="E47" s="21">
        <v>54060</v>
      </c>
      <c r="F47" s="21">
        <v>10812</v>
      </c>
      <c r="G47" s="21">
        <v>2221</v>
      </c>
      <c r="H47" s="21">
        <v>6487</v>
      </c>
      <c r="I47" s="21">
        <v>1182</v>
      </c>
      <c r="J47" s="21">
        <v>59424</v>
      </c>
      <c r="L47" s="6">
        <f t="shared" si="0"/>
        <v>124296</v>
      </c>
      <c r="M47" s="7">
        <f t="shared" si="1"/>
        <v>123114</v>
      </c>
      <c r="N47" s="8">
        <f t="shared" si="2"/>
        <v>5406</v>
      </c>
      <c r="O47" s="9">
        <f t="shared" si="3"/>
        <v>2703</v>
      </c>
      <c r="P47" s="10">
        <f t="shared" si="4"/>
        <v>56763</v>
      </c>
      <c r="Q47" s="11">
        <f t="shared" si="5"/>
        <v>337.875</v>
      </c>
      <c r="S47" s="19">
        <f t="shared" si="6"/>
        <v>1802</v>
      </c>
    </row>
    <row r="48" spans="1:19">
      <c r="A48" s="21" t="s">
        <v>105</v>
      </c>
      <c r="B48" s="21" t="s">
        <v>62</v>
      </c>
      <c r="C48" s="21" t="s">
        <v>25</v>
      </c>
      <c r="D48" s="21" t="s">
        <v>16</v>
      </c>
      <c r="E48" s="21">
        <v>44200</v>
      </c>
      <c r="F48" s="21">
        <v>8840</v>
      </c>
      <c r="G48" s="21">
        <v>4872</v>
      </c>
      <c r="H48" s="21">
        <v>5304</v>
      </c>
      <c r="I48" s="21">
        <v>2688</v>
      </c>
      <c r="J48" s="21">
        <v>49920</v>
      </c>
      <c r="L48" s="6">
        <f t="shared" si="0"/>
        <v>102960</v>
      </c>
      <c r="M48" s="7">
        <f t="shared" si="1"/>
        <v>100272</v>
      </c>
      <c r="N48" s="8">
        <f t="shared" si="2"/>
        <v>4420</v>
      </c>
      <c r="O48" s="9">
        <f t="shared" si="3"/>
        <v>2210</v>
      </c>
      <c r="P48" s="10">
        <f t="shared" si="4"/>
        <v>46410</v>
      </c>
      <c r="Q48" s="11">
        <f t="shared" si="5"/>
        <v>276.25</v>
      </c>
      <c r="S48" s="19">
        <f t="shared" si="6"/>
        <v>1473.3333333333333</v>
      </c>
    </row>
    <row r="49" spans="1:19">
      <c r="A49" s="21" t="s">
        <v>106</v>
      </c>
      <c r="B49" s="21" t="s">
        <v>107</v>
      </c>
      <c r="C49" s="21" t="s">
        <v>11</v>
      </c>
      <c r="D49" s="21" t="s">
        <v>36</v>
      </c>
      <c r="E49" s="21">
        <v>30724</v>
      </c>
      <c r="F49" s="21">
        <v>6144</v>
      </c>
      <c r="G49" s="21">
        <v>4851</v>
      </c>
      <c r="H49" s="21">
        <v>3686</v>
      </c>
      <c r="I49" s="21">
        <v>2066</v>
      </c>
      <c r="J49" s="21">
        <v>35967</v>
      </c>
      <c r="L49" s="6">
        <f t="shared" si="0"/>
        <v>72835</v>
      </c>
      <c r="M49" s="7">
        <f t="shared" si="1"/>
        <v>70769</v>
      </c>
      <c r="N49" s="8">
        <f t="shared" si="2"/>
        <v>3072.4</v>
      </c>
      <c r="O49" s="9">
        <f t="shared" si="3"/>
        <v>1536.2</v>
      </c>
      <c r="P49" s="10">
        <f t="shared" si="4"/>
        <v>32260.2</v>
      </c>
      <c r="Q49" s="11">
        <f t="shared" si="5"/>
        <v>192.02500000000001</v>
      </c>
      <c r="S49" s="19">
        <f t="shared" si="6"/>
        <v>1024.1333333333334</v>
      </c>
    </row>
    <row r="50" spans="1:19">
      <c r="A50" s="21" t="s">
        <v>108</v>
      </c>
      <c r="B50" s="21" t="s">
        <v>109</v>
      </c>
      <c r="C50" s="21" t="s">
        <v>21</v>
      </c>
      <c r="D50" s="21" t="s">
        <v>12</v>
      </c>
      <c r="E50" s="21">
        <v>17539</v>
      </c>
      <c r="F50" s="21">
        <v>3507</v>
      </c>
      <c r="G50" s="21">
        <v>4041</v>
      </c>
      <c r="H50" s="21">
        <v>2104</v>
      </c>
      <c r="I50" s="21">
        <v>2416</v>
      </c>
      <c r="J50" s="21">
        <v>20567</v>
      </c>
      <c r="L50" s="6">
        <f t="shared" si="0"/>
        <v>41613</v>
      </c>
      <c r="M50" s="7">
        <f t="shared" si="1"/>
        <v>39197</v>
      </c>
      <c r="N50" s="8">
        <f t="shared" si="2"/>
        <v>1753.9</v>
      </c>
      <c r="O50" s="9">
        <f t="shared" si="3"/>
        <v>876.95</v>
      </c>
      <c r="P50" s="10">
        <f t="shared" si="4"/>
        <v>18415.95</v>
      </c>
      <c r="Q50" s="11">
        <f t="shared" si="5"/>
        <v>109.61875000000001</v>
      </c>
      <c r="S50" s="19">
        <f t="shared" si="6"/>
        <v>584.63333333333333</v>
      </c>
    </row>
    <row r="51" spans="1:19">
      <c r="A51" s="21" t="s">
        <v>110</v>
      </c>
      <c r="B51" s="21" t="s">
        <v>111</v>
      </c>
      <c r="C51" s="21" t="s">
        <v>25</v>
      </c>
      <c r="D51" s="21" t="s">
        <v>36</v>
      </c>
      <c r="E51" s="21">
        <v>51211</v>
      </c>
      <c r="F51" s="21">
        <v>10242</v>
      </c>
      <c r="G51" s="21">
        <v>2705</v>
      </c>
      <c r="H51" s="21">
        <v>6145</v>
      </c>
      <c r="I51" s="21">
        <v>2720</v>
      </c>
      <c r="J51" s="21">
        <v>55293</v>
      </c>
      <c r="L51" s="6">
        <f t="shared" si="0"/>
        <v>116746</v>
      </c>
      <c r="M51" s="7">
        <f t="shared" si="1"/>
        <v>114026</v>
      </c>
      <c r="N51" s="8">
        <f t="shared" si="2"/>
        <v>5121.1000000000004</v>
      </c>
      <c r="O51" s="9">
        <f t="shared" si="3"/>
        <v>2560.5500000000002</v>
      </c>
      <c r="P51" s="10">
        <f t="shared" si="4"/>
        <v>53771.55</v>
      </c>
      <c r="Q51" s="11">
        <f t="shared" si="5"/>
        <v>320.06875000000002</v>
      </c>
      <c r="S51" s="19">
        <f t="shared" si="6"/>
        <v>1707.0333333333333</v>
      </c>
    </row>
    <row r="52" spans="1:19">
      <c r="A52" s="21" t="s">
        <v>112</v>
      </c>
      <c r="B52" s="21" t="s">
        <v>104</v>
      </c>
      <c r="C52" s="21" t="s">
        <v>21</v>
      </c>
      <c r="D52" s="21" t="s">
        <v>22</v>
      </c>
      <c r="E52" s="21">
        <v>30658</v>
      </c>
      <c r="F52" s="21">
        <v>6131</v>
      </c>
      <c r="G52" s="21">
        <v>2409</v>
      </c>
      <c r="H52" s="21">
        <v>3678</v>
      </c>
      <c r="I52" s="21">
        <v>739</v>
      </c>
      <c r="J52" s="21">
        <v>34781</v>
      </c>
      <c r="L52" s="6">
        <f t="shared" si="0"/>
        <v>71570</v>
      </c>
      <c r="M52" s="7">
        <f t="shared" si="1"/>
        <v>70831</v>
      </c>
      <c r="N52" s="8">
        <f t="shared" si="2"/>
        <v>3065.8</v>
      </c>
      <c r="O52" s="9">
        <f t="shared" si="3"/>
        <v>1532.9</v>
      </c>
      <c r="P52" s="10">
        <f t="shared" si="4"/>
        <v>32190.9</v>
      </c>
      <c r="Q52" s="11">
        <f t="shared" si="5"/>
        <v>191.61250000000001</v>
      </c>
      <c r="S52" s="19">
        <f t="shared" si="6"/>
        <v>1021.9333333333333</v>
      </c>
    </row>
    <row r="53" spans="1:19">
      <c r="A53" s="21" t="s">
        <v>113</v>
      </c>
      <c r="B53" s="21" t="s">
        <v>60</v>
      </c>
      <c r="C53" s="21" t="s">
        <v>49</v>
      </c>
      <c r="D53" s="21" t="s">
        <v>16</v>
      </c>
      <c r="E53" s="21">
        <v>40674</v>
      </c>
      <c r="F53" s="21">
        <v>8134</v>
      </c>
      <c r="G53" s="21">
        <v>3415</v>
      </c>
      <c r="H53" s="21">
        <v>4880</v>
      </c>
      <c r="I53" s="21">
        <v>1469</v>
      </c>
      <c r="J53" s="21">
        <v>45874</v>
      </c>
      <c r="L53" s="6">
        <f t="shared" si="0"/>
        <v>94682</v>
      </c>
      <c r="M53" s="7">
        <f t="shared" si="1"/>
        <v>93213</v>
      </c>
      <c r="N53" s="8">
        <f t="shared" si="2"/>
        <v>4067.4</v>
      </c>
      <c r="O53" s="9">
        <f t="shared" si="3"/>
        <v>2033.7</v>
      </c>
      <c r="P53" s="10">
        <f t="shared" si="4"/>
        <v>42707.700000000004</v>
      </c>
      <c r="Q53" s="11">
        <f t="shared" si="5"/>
        <v>254.21250000000001</v>
      </c>
      <c r="S53" s="19">
        <f t="shared" si="6"/>
        <v>1355.8</v>
      </c>
    </row>
    <row r="54" spans="1:19">
      <c r="A54" s="21" t="s">
        <v>114</v>
      </c>
      <c r="B54" s="21" t="s">
        <v>115</v>
      </c>
      <c r="C54" s="21" t="s">
        <v>49</v>
      </c>
      <c r="D54" s="21" t="s">
        <v>16</v>
      </c>
      <c r="E54" s="21">
        <v>26912</v>
      </c>
      <c r="F54" s="21">
        <v>5382</v>
      </c>
      <c r="G54" s="21">
        <v>1473</v>
      </c>
      <c r="H54" s="21">
        <v>3229</v>
      </c>
      <c r="I54" s="21">
        <v>1554</v>
      </c>
      <c r="J54" s="21">
        <v>28984</v>
      </c>
      <c r="L54" s="6">
        <f t="shared" si="0"/>
        <v>61278</v>
      </c>
      <c r="M54" s="7">
        <f t="shared" si="1"/>
        <v>59724</v>
      </c>
      <c r="N54" s="8">
        <f t="shared" si="2"/>
        <v>2691.2000000000003</v>
      </c>
      <c r="O54" s="9">
        <f t="shared" si="3"/>
        <v>1345.6000000000001</v>
      </c>
      <c r="P54" s="10">
        <f t="shared" si="4"/>
        <v>28257.600000000002</v>
      </c>
      <c r="Q54" s="11">
        <f t="shared" si="5"/>
        <v>168.2</v>
      </c>
      <c r="S54" s="19">
        <f t="shared" si="6"/>
        <v>897.06666666666672</v>
      </c>
    </row>
    <row r="55" spans="1:19">
      <c r="A55" s="21" t="s">
        <v>116</v>
      </c>
      <c r="B55" s="21" t="s">
        <v>117</v>
      </c>
      <c r="C55" s="21" t="s">
        <v>25</v>
      </c>
      <c r="D55" s="21" t="s">
        <v>16</v>
      </c>
      <c r="E55" s="21">
        <v>29020</v>
      </c>
      <c r="F55" s="21">
        <v>5804</v>
      </c>
      <c r="G55" s="21">
        <v>3205</v>
      </c>
      <c r="H55" s="21">
        <v>3482</v>
      </c>
      <c r="I55" s="21">
        <v>1075</v>
      </c>
      <c r="J55" s="21">
        <v>33472</v>
      </c>
      <c r="L55" s="6">
        <f t="shared" si="0"/>
        <v>68296</v>
      </c>
      <c r="M55" s="7">
        <f t="shared" si="1"/>
        <v>67221</v>
      </c>
      <c r="N55" s="8">
        <f t="shared" si="2"/>
        <v>2902</v>
      </c>
      <c r="O55" s="9">
        <f t="shared" si="3"/>
        <v>1451</v>
      </c>
      <c r="P55" s="10">
        <f t="shared" si="4"/>
        <v>30471</v>
      </c>
      <c r="Q55" s="11">
        <f t="shared" si="5"/>
        <v>181.375</v>
      </c>
      <c r="S55" s="19">
        <f t="shared" si="6"/>
        <v>967.33333333333337</v>
      </c>
    </row>
    <row r="56" spans="1:19">
      <c r="A56" s="21" t="s">
        <v>118</v>
      </c>
      <c r="B56" s="21" t="s">
        <v>97</v>
      </c>
      <c r="C56" s="21" t="s">
        <v>21</v>
      </c>
      <c r="D56" s="21" t="s">
        <v>16</v>
      </c>
      <c r="E56" s="21">
        <v>20988</v>
      </c>
      <c r="F56" s="21">
        <v>4197</v>
      </c>
      <c r="G56" s="21">
        <v>2074</v>
      </c>
      <c r="H56" s="21">
        <v>2518</v>
      </c>
      <c r="I56" s="21">
        <v>1458</v>
      </c>
      <c r="J56" s="21">
        <v>23283</v>
      </c>
      <c r="L56" s="6">
        <f t="shared" si="0"/>
        <v>48468</v>
      </c>
      <c r="M56" s="7">
        <f t="shared" si="1"/>
        <v>47010</v>
      </c>
      <c r="N56" s="8">
        <f t="shared" si="2"/>
        <v>2098.8000000000002</v>
      </c>
      <c r="O56" s="9">
        <f t="shared" si="3"/>
        <v>1049.4000000000001</v>
      </c>
      <c r="P56" s="10">
        <f t="shared" si="4"/>
        <v>22037.4</v>
      </c>
      <c r="Q56" s="11">
        <f t="shared" si="5"/>
        <v>131.17500000000001</v>
      </c>
      <c r="S56" s="19">
        <f t="shared" si="6"/>
        <v>699.6</v>
      </c>
    </row>
    <row r="57" spans="1:19">
      <c r="A57" s="21" t="s">
        <v>119</v>
      </c>
      <c r="B57" s="21" t="s">
        <v>120</v>
      </c>
      <c r="C57" s="21" t="s">
        <v>49</v>
      </c>
      <c r="D57" s="21" t="s">
        <v>36</v>
      </c>
      <c r="E57" s="21">
        <v>54111</v>
      </c>
      <c r="F57" s="21">
        <v>10822</v>
      </c>
      <c r="G57" s="21">
        <v>1421</v>
      </c>
      <c r="H57" s="21">
        <v>6493</v>
      </c>
      <c r="I57" s="21">
        <v>2036</v>
      </c>
      <c r="J57" s="21">
        <v>57825</v>
      </c>
      <c r="L57" s="6">
        <f t="shared" si="0"/>
        <v>122758</v>
      </c>
      <c r="M57" s="7">
        <f t="shared" si="1"/>
        <v>120722</v>
      </c>
      <c r="N57" s="8">
        <f t="shared" si="2"/>
        <v>5411.1</v>
      </c>
      <c r="O57" s="9">
        <f t="shared" si="3"/>
        <v>2705.55</v>
      </c>
      <c r="P57" s="10">
        <f t="shared" si="4"/>
        <v>56816.55</v>
      </c>
      <c r="Q57" s="11">
        <f t="shared" si="5"/>
        <v>338.19375000000002</v>
      </c>
      <c r="S57" s="19">
        <f t="shared" si="6"/>
        <v>1803.7</v>
      </c>
    </row>
    <row r="58" spans="1:19">
      <c r="A58" s="21" t="s">
        <v>121</v>
      </c>
      <c r="B58" s="21" t="s">
        <v>102</v>
      </c>
      <c r="C58" s="21" t="s">
        <v>25</v>
      </c>
      <c r="D58" s="21" t="s">
        <v>36</v>
      </c>
      <c r="E58" s="21">
        <v>52525</v>
      </c>
      <c r="F58" s="21">
        <v>10505</v>
      </c>
      <c r="G58" s="21">
        <v>3471</v>
      </c>
      <c r="H58" s="21">
        <v>6303</v>
      </c>
      <c r="I58" s="21">
        <v>1078</v>
      </c>
      <c r="J58" s="21">
        <v>59120</v>
      </c>
      <c r="L58" s="6">
        <f t="shared" si="0"/>
        <v>122150</v>
      </c>
      <c r="M58" s="7">
        <f t="shared" si="1"/>
        <v>121072</v>
      </c>
      <c r="N58" s="8">
        <f t="shared" si="2"/>
        <v>5252.5</v>
      </c>
      <c r="O58" s="9">
        <f t="shared" si="3"/>
        <v>2626.25</v>
      </c>
      <c r="P58" s="10">
        <f t="shared" si="4"/>
        <v>55151.25</v>
      </c>
      <c r="Q58" s="11">
        <f t="shared" si="5"/>
        <v>328.28125</v>
      </c>
      <c r="S58" s="19">
        <f t="shared" si="6"/>
        <v>1750.8333333333333</v>
      </c>
    </row>
    <row r="59" spans="1:19">
      <c r="A59" s="21" t="s">
        <v>122</v>
      </c>
      <c r="B59" s="21" t="s">
        <v>123</v>
      </c>
      <c r="C59" s="21" t="s">
        <v>49</v>
      </c>
      <c r="D59" s="21" t="s">
        <v>12</v>
      </c>
      <c r="E59" s="21">
        <v>57368</v>
      </c>
      <c r="F59" s="21">
        <v>11473</v>
      </c>
      <c r="G59" s="21">
        <v>4545</v>
      </c>
      <c r="H59" s="21">
        <v>6884</v>
      </c>
      <c r="I59" s="21">
        <v>1099</v>
      </c>
      <c r="J59" s="21">
        <v>65403</v>
      </c>
      <c r="L59" s="6">
        <f t="shared" si="0"/>
        <v>134244</v>
      </c>
      <c r="M59" s="7">
        <f t="shared" si="1"/>
        <v>133145</v>
      </c>
      <c r="N59" s="8">
        <f t="shared" si="2"/>
        <v>5736.8</v>
      </c>
      <c r="O59" s="9">
        <f t="shared" si="3"/>
        <v>2868.4</v>
      </c>
      <c r="P59" s="10">
        <f t="shared" si="4"/>
        <v>60236.4</v>
      </c>
      <c r="Q59" s="11">
        <f t="shared" si="5"/>
        <v>358.55</v>
      </c>
      <c r="S59" s="19">
        <f t="shared" si="6"/>
        <v>1912.2666666666667</v>
      </c>
    </row>
    <row r="60" spans="1:19">
      <c r="A60" s="21" t="s">
        <v>124</v>
      </c>
      <c r="B60" s="21" t="s">
        <v>60</v>
      </c>
      <c r="C60" s="21" t="s">
        <v>11</v>
      </c>
      <c r="D60" s="21" t="s">
        <v>36</v>
      </c>
      <c r="E60" s="21">
        <v>16498</v>
      </c>
      <c r="F60" s="21">
        <v>3299</v>
      </c>
      <c r="G60" s="21">
        <v>1938</v>
      </c>
      <c r="H60" s="21">
        <v>1979</v>
      </c>
      <c r="I60" s="21">
        <v>2190</v>
      </c>
      <c r="J60" s="21">
        <v>17566</v>
      </c>
      <c r="L60" s="6">
        <f t="shared" si="0"/>
        <v>37363</v>
      </c>
      <c r="M60" s="7">
        <f t="shared" si="1"/>
        <v>35173</v>
      </c>
      <c r="N60" s="8">
        <f t="shared" si="2"/>
        <v>1649.8000000000002</v>
      </c>
      <c r="O60" s="9">
        <f t="shared" si="3"/>
        <v>824.90000000000009</v>
      </c>
      <c r="P60" s="10">
        <f t="shared" si="4"/>
        <v>17322.900000000001</v>
      </c>
      <c r="Q60" s="11">
        <f t="shared" si="5"/>
        <v>103.1125</v>
      </c>
      <c r="S60" s="19">
        <f t="shared" si="6"/>
        <v>549.93333333333328</v>
      </c>
    </row>
    <row r="61" spans="1:19">
      <c r="A61" s="21" t="s">
        <v>125</v>
      </c>
      <c r="B61" s="21" t="s">
        <v>126</v>
      </c>
      <c r="C61" s="21" t="s">
        <v>15</v>
      </c>
      <c r="D61" s="21" t="s">
        <v>22</v>
      </c>
      <c r="E61" s="21">
        <v>38201</v>
      </c>
      <c r="F61" s="21">
        <v>7640</v>
      </c>
      <c r="G61" s="21">
        <v>1201</v>
      </c>
      <c r="H61" s="21">
        <v>4584</v>
      </c>
      <c r="I61" s="21">
        <v>2087</v>
      </c>
      <c r="J61" s="21">
        <v>40371</v>
      </c>
      <c r="L61" s="6">
        <f t="shared" si="0"/>
        <v>86212</v>
      </c>
      <c r="M61" s="7">
        <f t="shared" si="1"/>
        <v>84125</v>
      </c>
      <c r="N61" s="8">
        <f t="shared" si="2"/>
        <v>3820.1000000000004</v>
      </c>
      <c r="O61" s="9">
        <f t="shared" si="3"/>
        <v>1910.0500000000002</v>
      </c>
      <c r="P61" s="10">
        <f t="shared" si="4"/>
        <v>40111.050000000003</v>
      </c>
      <c r="Q61" s="11">
        <f t="shared" si="5"/>
        <v>238.75624999999999</v>
      </c>
      <c r="S61" s="19">
        <f t="shared" si="6"/>
        <v>1273.3666666666666</v>
      </c>
    </row>
    <row r="62" spans="1:19">
      <c r="A62" s="21" t="s">
        <v>127</v>
      </c>
      <c r="B62" s="21" t="s">
        <v>128</v>
      </c>
      <c r="C62" s="21" t="s">
        <v>15</v>
      </c>
      <c r="D62" s="21" t="s">
        <v>36</v>
      </c>
      <c r="E62" s="21">
        <v>42021</v>
      </c>
      <c r="F62" s="21">
        <v>8404</v>
      </c>
      <c r="G62" s="21">
        <v>1994</v>
      </c>
      <c r="H62" s="21">
        <v>5042</v>
      </c>
      <c r="I62" s="21">
        <v>1731</v>
      </c>
      <c r="J62" s="21">
        <v>45646</v>
      </c>
      <c r="L62" s="6">
        <f t="shared" si="0"/>
        <v>96071</v>
      </c>
      <c r="M62" s="7">
        <f t="shared" si="1"/>
        <v>94340</v>
      </c>
      <c r="N62" s="8">
        <f t="shared" si="2"/>
        <v>4202.1000000000004</v>
      </c>
      <c r="O62" s="9">
        <f t="shared" si="3"/>
        <v>2101.0500000000002</v>
      </c>
      <c r="P62" s="10">
        <f t="shared" si="4"/>
        <v>44122.05</v>
      </c>
      <c r="Q62" s="11">
        <f t="shared" si="5"/>
        <v>262.63125000000002</v>
      </c>
      <c r="S62" s="19">
        <f t="shared" si="6"/>
        <v>1400.7</v>
      </c>
    </row>
    <row r="63" spans="1:19">
      <c r="A63" s="21" t="s">
        <v>129</v>
      </c>
      <c r="B63" s="21" t="s">
        <v>130</v>
      </c>
      <c r="C63" s="21" t="s">
        <v>21</v>
      </c>
      <c r="D63" s="21" t="s">
        <v>22</v>
      </c>
      <c r="E63" s="21">
        <v>33525</v>
      </c>
      <c r="F63" s="21">
        <v>6705</v>
      </c>
      <c r="G63" s="21">
        <v>4894</v>
      </c>
      <c r="H63" s="21">
        <v>4023</v>
      </c>
      <c r="I63" s="21">
        <v>956</v>
      </c>
      <c r="J63" s="21">
        <v>40145</v>
      </c>
      <c r="L63" s="6">
        <f t="shared" si="0"/>
        <v>80375</v>
      </c>
      <c r="M63" s="7">
        <f t="shared" si="1"/>
        <v>79419</v>
      </c>
      <c r="N63" s="8">
        <f t="shared" si="2"/>
        <v>3352.5</v>
      </c>
      <c r="O63" s="9">
        <f t="shared" si="3"/>
        <v>1676.25</v>
      </c>
      <c r="P63" s="10">
        <f t="shared" si="4"/>
        <v>35201.25</v>
      </c>
      <c r="Q63" s="11">
        <f t="shared" si="5"/>
        <v>209.53125</v>
      </c>
      <c r="S63" s="19">
        <f t="shared" si="6"/>
        <v>1117.5</v>
      </c>
    </row>
    <row r="64" spans="1:19">
      <c r="A64" s="21" t="s">
        <v>131</v>
      </c>
      <c r="B64" s="21" t="s">
        <v>46</v>
      </c>
      <c r="C64" s="21" t="s">
        <v>49</v>
      </c>
      <c r="D64" s="21" t="s">
        <v>12</v>
      </c>
      <c r="E64" s="21">
        <v>51010</v>
      </c>
      <c r="F64" s="21">
        <v>10202</v>
      </c>
      <c r="G64" s="21">
        <v>2212</v>
      </c>
      <c r="H64" s="21">
        <v>6121</v>
      </c>
      <c r="I64" s="21">
        <v>1171</v>
      </c>
      <c r="J64" s="21">
        <v>56132</v>
      </c>
      <c r="L64" s="6">
        <f t="shared" si="0"/>
        <v>117344</v>
      </c>
      <c r="M64" s="7">
        <f t="shared" si="1"/>
        <v>116173</v>
      </c>
      <c r="N64" s="8">
        <f t="shared" si="2"/>
        <v>5101</v>
      </c>
      <c r="O64" s="9">
        <f t="shared" si="3"/>
        <v>2550.5</v>
      </c>
      <c r="P64" s="10">
        <f t="shared" si="4"/>
        <v>53560.5</v>
      </c>
      <c r="Q64" s="11">
        <f t="shared" si="5"/>
        <v>318.8125</v>
      </c>
      <c r="S64" s="19">
        <f t="shared" si="6"/>
        <v>1700.3333333333333</v>
      </c>
    </row>
    <row r="65" spans="1:19">
      <c r="A65" s="21" t="s">
        <v>132</v>
      </c>
      <c r="B65" s="21" t="s">
        <v>133</v>
      </c>
      <c r="C65" s="21" t="s">
        <v>21</v>
      </c>
      <c r="D65" s="21" t="s">
        <v>36</v>
      </c>
      <c r="E65" s="21">
        <v>44575</v>
      </c>
      <c r="F65" s="21">
        <v>8915</v>
      </c>
      <c r="G65" s="21">
        <v>2575</v>
      </c>
      <c r="H65" s="21">
        <v>5349</v>
      </c>
      <c r="I65" s="21">
        <v>1152</v>
      </c>
      <c r="J65" s="21">
        <v>49564</v>
      </c>
      <c r="L65" s="6">
        <f t="shared" si="0"/>
        <v>103054</v>
      </c>
      <c r="M65" s="7">
        <f t="shared" si="1"/>
        <v>101902</v>
      </c>
      <c r="N65" s="8">
        <f t="shared" si="2"/>
        <v>4457.5</v>
      </c>
      <c r="O65" s="9">
        <f t="shared" si="3"/>
        <v>2228.75</v>
      </c>
      <c r="P65" s="10">
        <f t="shared" si="4"/>
        <v>46803.75</v>
      </c>
      <c r="Q65" s="11">
        <f t="shared" si="5"/>
        <v>278.59375</v>
      </c>
      <c r="S65" s="19">
        <f t="shared" si="6"/>
        <v>1485.8333333333333</v>
      </c>
    </row>
    <row r="66" spans="1:19">
      <c r="A66" s="21" t="s">
        <v>134</v>
      </c>
      <c r="B66" s="21" t="s">
        <v>135</v>
      </c>
      <c r="C66" s="21" t="s">
        <v>11</v>
      </c>
      <c r="D66" s="21" t="s">
        <v>12</v>
      </c>
      <c r="E66" s="21">
        <v>17674</v>
      </c>
      <c r="F66" s="21">
        <v>3534</v>
      </c>
      <c r="G66" s="21">
        <v>3605</v>
      </c>
      <c r="H66" s="21">
        <v>2120</v>
      </c>
      <c r="I66" s="21">
        <v>666</v>
      </c>
      <c r="J66" s="21">
        <v>22027</v>
      </c>
      <c r="L66" s="6">
        <f t="shared" si="0"/>
        <v>43235</v>
      </c>
      <c r="M66" s="7">
        <f t="shared" si="1"/>
        <v>42569</v>
      </c>
      <c r="N66" s="8">
        <f t="shared" si="2"/>
        <v>1767.4</v>
      </c>
      <c r="O66" s="9">
        <f t="shared" si="3"/>
        <v>883.7</v>
      </c>
      <c r="P66" s="10">
        <f t="shared" si="4"/>
        <v>18557.7</v>
      </c>
      <c r="Q66" s="11">
        <f t="shared" si="5"/>
        <v>110.46250000000001</v>
      </c>
      <c r="S66" s="19">
        <f t="shared" si="6"/>
        <v>589.13333333333333</v>
      </c>
    </row>
    <row r="67" spans="1:19">
      <c r="A67" s="21" t="s">
        <v>136</v>
      </c>
      <c r="B67" s="21" t="s">
        <v>130</v>
      </c>
      <c r="C67" s="21" t="s">
        <v>21</v>
      </c>
      <c r="D67" s="21" t="s">
        <v>22</v>
      </c>
      <c r="E67" s="21">
        <v>52585</v>
      </c>
      <c r="F67" s="21">
        <v>10517</v>
      </c>
      <c r="G67" s="21">
        <v>3584</v>
      </c>
      <c r="H67" s="21">
        <v>6310</v>
      </c>
      <c r="I67" s="21">
        <v>2562</v>
      </c>
      <c r="J67" s="21">
        <v>57814</v>
      </c>
      <c r="L67" s="6">
        <f t="shared" ref="L67:L130" si="7">E67+F67+J67</f>
        <v>120916</v>
      </c>
      <c r="M67" s="7">
        <f t="shared" ref="M67:M130" si="8">L67-I67</f>
        <v>118354</v>
      </c>
      <c r="N67" s="8">
        <f t="shared" ref="N67:N130" si="9">E67*10%</f>
        <v>5258.5</v>
      </c>
      <c r="O67" s="9">
        <f t="shared" ref="O67:O130" si="10">E67*5%</f>
        <v>2629.25</v>
      </c>
      <c r="P67" s="10">
        <f t="shared" ref="P67:P130" si="11">E67*1.05</f>
        <v>55214.25</v>
      </c>
      <c r="Q67" s="11">
        <f t="shared" ref="Q67:Q130" si="12">E67/(40*4)</f>
        <v>328.65625</v>
      </c>
      <c r="S67" s="19">
        <f t="shared" ref="S67:S130" si="13">E67/30</f>
        <v>1752.8333333333333</v>
      </c>
    </row>
    <row r="68" spans="1:19">
      <c r="A68" s="21" t="s">
        <v>137</v>
      </c>
      <c r="B68" s="21" t="s">
        <v>138</v>
      </c>
      <c r="C68" s="21" t="s">
        <v>49</v>
      </c>
      <c r="D68" s="21" t="s">
        <v>16</v>
      </c>
      <c r="E68" s="21">
        <v>55834</v>
      </c>
      <c r="F68" s="21">
        <v>11166</v>
      </c>
      <c r="G68" s="21">
        <v>1370</v>
      </c>
      <c r="H68" s="21">
        <v>6700</v>
      </c>
      <c r="I68" s="21">
        <v>1376</v>
      </c>
      <c r="J68" s="21">
        <v>60294</v>
      </c>
      <c r="L68" s="6">
        <f t="shared" si="7"/>
        <v>127294</v>
      </c>
      <c r="M68" s="7">
        <f t="shared" si="8"/>
        <v>125918</v>
      </c>
      <c r="N68" s="8">
        <f t="shared" si="9"/>
        <v>5583.4000000000005</v>
      </c>
      <c r="O68" s="9">
        <f t="shared" si="10"/>
        <v>2791.7000000000003</v>
      </c>
      <c r="P68" s="10">
        <f t="shared" si="11"/>
        <v>58625.700000000004</v>
      </c>
      <c r="Q68" s="11">
        <f t="shared" si="12"/>
        <v>348.96249999999998</v>
      </c>
      <c r="S68" s="19">
        <f t="shared" si="13"/>
        <v>1861.1333333333334</v>
      </c>
    </row>
    <row r="69" spans="1:19">
      <c r="A69" s="21" t="s">
        <v>139</v>
      </c>
      <c r="B69" s="21" t="s">
        <v>140</v>
      </c>
      <c r="C69" s="21" t="s">
        <v>49</v>
      </c>
      <c r="D69" s="21" t="s">
        <v>12</v>
      </c>
      <c r="E69" s="21">
        <v>48349</v>
      </c>
      <c r="F69" s="21">
        <v>9669</v>
      </c>
      <c r="G69" s="21">
        <v>3919</v>
      </c>
      <c r="H69" s="21">
        <v>5801</v>
      </c>
      <c r="I69" s="21">
        <v>2752</v>
      </c>
      <c r="J69" s="21">
        <v>53384</v>
      </c>
      <c r="L69" s="6">
        <f t="shared" si="7"/>
        <v>111402</v>
      </c>
      <c r="M69" s="7">
        <f t="shared" si="8"/>
        <v>108650</v>
      </c>
      <c r="N69" s="8">
        <f t="shared" si="9"/>
        <v>4834.9000000000005</v>
      </c>
      <c r="O69" s="9">
        <f t="shared" si="10"/>
        <v>2417.4500000000003</v>
      </c>
      <c r="P69" s="10">
        <f t="shared" si="11"/>
        <v>50766.450000000004</v>
      </c>
      <c r="Q69" s="11">
        <f t="shared" si="12"/>
        <v>302.18124999999998</v>
      </c>
      <c r="S69" s="19">
        <f t="shared" si="13"/>
        <v>1611.6333333333334</v>
      </c>
    </row>
    <row r="70" spans="1:19">
      <c r="A70" s="21" t="s">
        <v>141</v>
      </c>
      <c r="B70" s="21" t="s">
        <v>123</v>
      </c>
      <c r="C70" s="21" t="s">
        <v>15</v>
      </c>
      <c r="D70" s="21" t="s">
        <v>28</v>
      </c>
      <c r="E70" s="21">
        <v>18075</v>
      </c>
      <c r="F70" s="21">
        <v>3615</v>
      </c>
      <c r="G70" s="21">
        <v>2987</v>
      </c>
      <c r="H70" s="21">
        <v>2169</v>
      </c>
      <c r="I70" s="21">
        <v>2015</v>
      </c>
      <c r="J70" s="21">
        <v>20493</v>
      </c>
      <c r="L70" s="6">
        <f t="shared" si="7"/>
        <v>42183</v>
      </c>
      <c r="M70" s="7">
        <f t="shared" si="8"/>
        <v>40168</v>
      </c>
      <c r="N70" s="8">
        <f t="shared" si="9"/>
        <v>1807.5</v>
      </c>
      <c r="O70" s="9">
        <f t="shared" si="10"/>
        <v>903.75</v>
      </c>
      <c r="P70" s="10">
        <f t="shared" si="11"/>
        <v>18978.75</v>
      </c>
      <c r="Q70" s="11">
        <f t="shared" si="12"/>
        <v>112.96875</v>
      </c>
      <c r="S70" s="19">
        <f t="shared" si="13"/>
        <v>602.5</v>
      </c>
    </row>
    <row r="71" spans="1:19">
      <c r="A71" s="21" t="s">
        <v>142</v>
      </c>
      <c r="B71" s="21" t="s">
        <v>143</v>
      </c>
      <c r="C71" s="21" t="s">
        <v>33</v>
      </c>
      <c r="D71" s="21" t="s">
        <v>28</v>
      </c>
      <c r="E71" s="21">
        <v>56480</v>
      </c>
      <c r="F71" s="21">
        <v>11296</v>
      </c>
      <c r="G71" s="21">
        <v>3958</v>
      </c>
      <c r="H71" s="21">
        <v>6777</v>
      </c>
      <c r="I71" s="21">
        <v>1462</v>
      </c>
      <c r="J71" s="21">
        <v>63495</v>
      </c>
      <c r="L71" s="6">
        <f t="shared" si="7"/>
        <v>131271</v>
      </c>
      <c r="M71" s="7">
        <f t="shared" si="8"/>
        <v>129809</v>
      </c>
      <c r="N71" s="8">
        <f t="shared" si="9"/>
        <v>5648</v>
      </c>
      <c r="O71" s="9">
        <f t="shared" si="10"/>
        <v>2824</v>
      </c>
      <c r="P71" s="10">
        <f t="shared" si="11"/>
        <v>59304</v>
      </c>
      <c r="Q71" s="11">
        <f t="shared" si="12"/>
        <v>353</v>
      </c>
      <c r="S71" s="19">
        <f t="shared" si="13"/>
        <v>1882.6666666666667</v>
      </c>
    </row>
    <row r="72" spans="1:19">
      <c r="A72" s="21" t="s">
        <v>144</v>
      </c>
      <c r="B72" s="21" t="s">
        <v>77</v>
      </c>
      <c r="C72" s="21" t="s">
        <v>25</v>
      </c>
      <c r="D72" s="21" t="s">
        <v>22</v>
      </c>
      <c r="E72" s="21">
        <v>56798</v>
      </c>
      <c r="F72" s="21">
        <v>11359</v>
      </c>
      <c r="G72" s="21">
        <v>1242</v>
      </c>
      <c r="H72" s="21">
        <v>6815</v>
      </c>
      <c r="I72" s="21">
        <v>2070</v>
      </c>
      <c r="J72" s="21">
        <v>60514</v>
      </c>
      <c r="L72" s="6">
        <f t="shared" si="7"/>
        <v>128671</v>
      </c>
      <c r="M72" s="7">
        <f t="shared" si="8"/>
        <v>126601</v>
      </c>
      <c r="N72" s="8">
        <f t="shared" si="9"/>
        <v>5679.8</v>
      </c>
      <c r="O72" s="9">
        <f t="shared" si="10"/>
        <v>2839.9</v>
      </c>
      <c r="P72" s="10">
        <f t="shared" si="11"/>
        <v>59637.9</v>
      </c>
      <c r="Q72" s="11">
        <f t="shared" si="12"/>
        <v>354.98750000000001</v>
      </c>
      <c r="S72" s="19">
        <f t="shared" si="13"/>
        <v>1893.2666666666667</v>
      </c>
    </row>
    <row r="73" spans="1:19">
      <c r="A73" s="21" t="s">
        <v>145</v>
      </c>
      <c r="B73" s="21" t="s">
        <v>73</v>
      </c>
      <c r="C73" s="21" t="s">
        <v>33</v>
      </c>
      <c r="D73" s="21" t="s">
        <v>16</v>
      </c>
      <c r="E73" s="21">
        <v>34501</v>
      </c>
      <c r="F73" s="21">
        <v>6900</v>
      </c>
      <c r="G73" s="21">
        <v>4965</v>
      </c>
      <c r="H73" s="21">
        <v>4140</v>
      </c>
      <c r="I73" s="21">
        <v>2673</v>
      </c>
      <c r="J73" s="21">
        <v>39553</v>
      </c>
      <c r="L73" s="6">
        <f t="shared" si="7"/>
        <v>80954</v>
      </c>
      <c r="M73" s="7">
        <f t="shared" si="8"/>
        <v>78281</v>
      </c>
      <c r="N73" s="8">
        <f t="shared" si="9"/>
        <v>3450.1000000000004</v>
      </c>
      <c r="O73" s="9">
        <f t="shared" si="10"/>
        <v>1725.0500000000002</v>
      </c>
      <c r="P73" s="10">
        <f t="shared" si="11"/>
        <v>36226.050000000003</v>
      </c>
      <c r="Q73" s="11">
        <f t="shared" si="12"/>
        <v>215.63124999999999</v>
      </c>
      <c r="S73" s="19">
        <f t="shared" si="13"/>
        <v>1150.0333333333333</v>
      </c>
    </row>
    <row r="74" spans="1:19">
      <c r="A74" s="21" t="s">
        <v>146</v>
      </c>
      <c r="B74" s="21" t="s">
        <v>128</v>
      </c>
      <c r="C74" s="21" t="s">
        <v>49</v>
      </c>
      <c r="D74" s="21" t="s">
        <v>36</v>
      </c>
      <c r="E74" s="21">
        <v>38040</v>
      </c>
      <c r="F74" s="21">
        <v>7608</v>
      </c>
      <c r="G74" s="21">
        <v>1592</v>
      </c>
      <c r="H74" s="21">
        <v>4564</v>
      </c>
      <c r="I74" s="21">
        <v>2341</v>
      </c>
      <c r="J74" s="21">
        <v>40335</v>
      </c>
      <c r="L74" s="6">
        <f t="shared" si="7"/>
        <v>85983</v>
      </c>
      <c r="M74" s="7">
        <f t="shared" si="8"/>
        <v>83642</v>
      </c>
      <c r="N74" s="8">
        <f t="shared" si="9"/>
        <v>3804</v>
      </c>
      <c r="O74" s="9">
        <f t="shared" si="10"/>
        <v>1902</v>
      </c>
      <c r="P74" s="10">
        <f t="shared" si="11"/>
        <v>39942</v>
      </c>
      <c r="Q74" s="11">
        <f t="shared" si="12"/>
        <v>237.75</v>
      </c>
      <c r="S74" s="19">
        <f t="shared" si="13"/>
        <v>1268</v>
      </c>
    </row>
    <row r="75" spans="1:19">
      <c r="A75" s="21" t="s">
        <v>147</v>
      </c>
      <c r="B75" s="21" t="s">
        <v>64</v>
      </c>
      <c r="C75" s="21" t="s">
        <v>25</v>
      </c>
      <c r="D75" s="21" t="s">
        <v>12</v>
      </c>
      <c r="E75" s="21">
        <v>37103</v>
      </c>
      <c r="F75" s="21">
        <v>7420</v>
      </c>
      <c r="G75" s="21">
        <v>4410</v>
      </c>
      <c r="H75" s="21">
        <v>4452</v>
      </c>
      <c r="I75" s="21">
        <v>2633</v>
      </c>
      <c r="J75" s="21">
        <v>41848</v>
      </c>
      <c r="L75" s="6">
        <f t="shared" si="7"/>
        <v>86371</v>
      </c>
      <c r="M75" s="7">
        <f t="shared" si="8"/>
        <v>83738</v>
      </c>
      <c r="N75" s="8">
        <f t="shared" si="9"/>
        <v>3710.3</v>
      </c>
      <c r="O75" s="9">
        <f t="shared" si="10"/>
        <v>1855.15</v>
      </c>
      <c r="P75" s="10">
        <f t="shared" si="11"/>
        <v>38958.15</v>
      </c>
      <c r="Q75" s="11">
        <f t="shared" si="12"/>
        <v>231.89375000000001</v>
      </c>
      <c r="S75" s="19">
        <f t="shared" si="13"/>
        <v>1236.7666666666667</v>
      </c>
    </row>
    <row r="76" spans="1:19">
      <c r="A76" s="21" t="s">
        <v>148</v>
      </c>
      <c r="B76" s="21" t="s">
        <v>149</v>
      </c>
      <c r="C76" s="21" t="s">
        <v>15</v>
      </c>
      <c r="D76" s="21" t="s">
        <v>36</v>
      </c>
      <c r="E76" s="21">
        <v>26869</v>
      </c>
      <c r="F76" s="21">
        <v>5373</v>
      </c>
      <c r="G76" s="21">
        <v>1912</v>
      </c>
      <c r="H76" s="21">
        <v>3224</v>
      </c>
      <c r="I76" s="21">
        <v>931</v>
      </c>
      <c r="J76" s="21">
        <v>29999</v>
      </c>
      <c r="L76" s="6">
        <f t="shared" si="7"/>
        <v>62241</v>
      </c>
      <c r="M76" s="7">
        <f t="shared" si="8"/>
        <v>61310</v>
      </c>
      <c r="N76" s="8">
        <f t="shared" si="9"/>
        <v>2686.9</v>
      </c>
      <c r="O76" s="9">
        <f t="shared" si="10"/>
        <v>1343.45</v>
      </c>
      <c r="P76" s="10">
        <f t="shared" si="11"/>
        <v>28212.45</v>
      </c>
      <c r="Q76" s="11">
        <f t="shared" si="12"/>
        <v>167.93125000000001</v>
      </c>
      <c r="S76" s="19">
        <f t="shared" si="13"/>
        <v>895.63333333333333</v>
      </c>
    </row>
    <row r="77" spans="1:19">
      <c r="A77" s="21" t="s">
        <v>150</v>
      </c>
      <c r="B77" s="21" t="s">
        <v>85</v>
      </c>
      <c r="C77" s="21" t="s">
        <v>15</v>
      </c>
      <c r="D77" s="21" t="s">
        <v>36</v>
      </c>
      <c r="E77" s="21">
        <v>48105</v>
      </c>
      <c r="F77" s="21">
        <v>9621</v>
      </c>
      <c r="G77" s="21">
        <v>2692</v>
      </c>
      <c r="H77" s="21">
        <v>5772</v>
      </c>
      <c r="I77" s="21">
        <v>1164</v>
      </c>
      <c r="J77" s="21">
        <v>53482</v>
      </c>
      <c r="L77" s="6">
        <f t="shared" si="7"/>
        <v>111208</v>
      </c>
      <c r="M77" s="7">
        <f t="shared" si="8"/>
        <v>110044</v>
      </c>
      <c r="N77" s="8">
        <f t="shared" si="9"/>
        <v>4810.5</v>
      </c>
      <c r="O77" s="9">
        <f t="shared" si="10"/>
        <v>2405.25</v>
      </c>
      <c r="P77" s="10">
        <f t="shared" si="11"/>
        <v>50510.25</v>
      </c>
      <c r="Q77" s="11">
        <f t="shared" si="12"/>
        <v>300.65625</v>
      </c>
      <c r="S77" s="19">
        <f t="shared" si="13"/>
        <v>1603.5</v>
      </c>
    </row>
    <row r="78" spans="1:19">
      <c r="A78" s="21" t="s">
        <v>151</v>
      </c>
      <c r="B78" s="21" t="s">
        <v>152</v>
      </c>
      <c r="C78" s="21" t="s">
        <v>49</v>
      </c>
      <c r="D78" s="21" t="s">
        <v>28</v>
      </c>
      <c r="E78" s="21">
        <v>41221</v>
      </c>
      <c r="F78" s="21">
        <v>8244</v>
      </c>
      <c r="G78" s="21">
        <v>2197</v>
      </c>
      <c r="H78" s="21">
        <v>4946</v>
      </c>
      <c r="I78" s="21">
        <v>1358</v>
      </c>
      <c r="J78" s="21">
        <v>45358</v>
      </c>
      <c r="L78" s="6">
        <f t="shared" si="7"/>
        <v>94823</v>
      </c>
      <c r="M78" s="7">
        <f t="shared" si="8"/>
        <v>93465</v>
      </c>
      <c r="N78" s="8">
        <f t="shared" si="9"/>
        <v>4122.1000000000004</v>
      </c>
      <c r="O78" s="9">
        <f t="shared" si="10"/>
        <v>2061.0500000000002</v>
      </c>
      <c r="P78" s="10">
        <f t="shared" si="11"/>
        <v>43282.05</v>
      </c>
      <c r="Q78" s="11">
        <f t="shared" si="12"/>
        <v>257.63125000000002</v>
      </c>
      <c r="S78" s="19">
        <f t="shared" si="13"/>
        <v>1374.0333333333333</v>
      </c>
    </row>
    <row r="79" spans="1:19">
      <c r="A79" s="21" t="s">
        <v>153</v>
      </c>
      <c r="B79" s="21" t="s">
        <v>133</v>
      </c>
      <c r="C79" s="21" t="s">
        <v>33</v>
      </c>
      <c r="D79" s="21" t="s">
        <v>36</v>
      </c>
      <c r="E79" s="21">
        <v>16076</v>
      </c>
      <c r="F79" s="21">
        <v>3215</v>
      </c>
      <c r="G79" s="21">
        <v>1339</v>
      </c>
      <c r="H79" s="21">
        <v>1929</v>
      </c>
      <c r="I79" s="21">
        <v>2840</v>
      </c>
      <c r="J79" s="21">
        <v>15861</v>
      </c>
      <c r="L79" s="6">
        <f t="shared" si="7"/>
        <v>35152</v>
      </c>
      <c r="M79" s="7">
        <f t="shared" si="8"/>
        <v>32312</v>
      </c>
      <c r="N79" s="8">
        <f t="shared" si="9"/>
        <v>1607.6000000000001</v>
      </c>
      <c r="O79" s="9">
        <f t="shared" si="10"/>
        <v>803.80000000000007</v>
      </c>
      <c r="P79" s="10">
        <f t="shared" si="11"/>
        <v>16879.8</v>
      </c>
      <c r="Q79" s="11">
        <f t="shared" si="12"/>
        <v>100.47499999999999</v>
      </c>
      <c r="S79" s="19">
        <f t="shared" si="13"/>
        <v>535.86666666666667</v>
      </c>
    </row>
    <row r="80" spans="1:19">
      <c r="A80" s="21" t="s">
        <v>154</v>
      </c>
      <c r="B80" s="21" t="s">
        <v>135</v>
      </c>
      <c r="C80" s="21" t="s">
        <v>15</v>
      </c>
      <c r="D80" s="21" t="s">
        <v>28</v>
      </c>
      <c r="E80" s="21">
        <v>56132</v>
      </c>
      <c r="F80" s="21">
        <v>11226</v>
      </c>
      <c r="G80" s="21">
        <v>2431</v>
      </c>
      <c r="H80" s="21">
        <v>6735</v>
      </c>
      <c r="I80" s="21">
        <v>1442</v>
      </c>
      <c r="J80" s="21">
        <v>61612</v>
      </c>
      <c r="L80" s="6">
        <f t="shared" si="7"/>
        <v>128970</v>
      </c>
      <c r="M80" s="7">
        <f t="shared" si="8"/>
        <v>127528</v>
      </c>
      <c r="N80" s="8">
        <f t="shared" si="9"/>
        <v>5613.2000000000007</v>
      </c>
      <c r="O80" s="9">
        <f t="shared" si="10"/>
        <v>2806.6000000000004</v>
      </c>
      <c r="P80" s="10">
        <f t="shared" si="11"/>
        <v>58938.600000000006</v>
      </c>
      <c r="Q80" s="11">
        <f t="shared" si="12"/>
        <v>350.82499999999999</v>
      </c>
      <c r="S80" s="19">
        <f t="shared" si="13"/>
        <v>1871.0666666666666</v>
      </c>
    </row>
    <row r="81" spans="1:19">
      <c r="A81" s="21" t="s">
        <v>155</v>
      </c>
      <c r="B81" s="21" t="s">
        <v>156</v>
      </c>
      <c r="C81" s="21" t="s">
        <v>25</v>
      </c>
      <c r="D81" s="21" t="s">
        <v>28</v>
      </c>
      <c r="E81" s="21">
        <v>15286</v>
      </c>
      <c r="F81" s="21">
        <v>3057</v>
      </c>
      <c r="G81" s="21">
        <v>4506</v>
      </c>
      <c r="H81" s="21">
        <v>1834</v>
      </c>
      <c r="I81" s="21">
        <v>570</v>
      </c>
      <c r="J81" s="21">
        <v>20445</v>
      </c>
      <c r="L81" s="6">
        <f t="shared" si="7"/>
        <v>38788</v>
      </c>
      <c r="M81" s="7">
        <f t="shared" si="8"/>
        <v>38218</v>
      </c>
      <c r="N81" s="8">
        <f t="shared" si="9"/>
        <v>1528.6000000000001</v>
      </c>
      <c r="O81" s="9">
        <f t="shared" si="10"/>
        <v>764.30000000000007</v>
      </c>
      <c r="P81" s="10">
        <f t="shared" si="11"/>
        <v>16050.300000000001</v>
      </c>
      <c r="Q81" s="11">
        <f t="shared" si="12"/>
        <v>95.537499999999994</v>
      </c>
      <c r="S81" s="19">
        <f t="shared" si="13"/>
        <v>509.53333333333336</v>
      </c>
    </row>
    <row r="82" spans="1:19">
      <c r="A82" s="21" t="s">
        <v>157</v>
      </c>
      <c r="B82" s="21" t="s">
        <v>79</v>
      </c>
      <c r="C82" s="21" t="s">
        <v>11</v>
      </c>
      <c r="D82" s="21" t="s">
        <v>16</v>
      </c>
      <c r="E82" s="21">
        <v>32139</v>
      </c>
      <c r="F82" s="21">
        <v>6427</v>
      </c>
      <c r="G82" s="21">
        <v>3713</v>
      </c>
      <c r="H82" s="21">
        <v>3856</v>
      </c>
      <c r="I82" s="21">
        <v>910</v>
      </c>
      <c r="J82" s="21">
        <v>37513</v>
      </c>
      <c r="L82" s="6">
        <f t="shared" si="7"/>
        <v>76079</v>
      </c>
      <c r="M82" s="7">
        <f t="shared" si="8"/>
        <v>75169</v>
      </c>
      <c r="N82" s="8">
        <f t="shared" si="9"/>
        <v>3213.9</v>
      </c>
      <c r="O82" s="9">
        <f t="shared" si="10"/>
        <v>1606.95</v>
      </c>
      <c r="P82" s="10">
        <f t="shared" si="11"/>
        <v>33745.950000000004</v>
      </c>
      <c r="Q82" s="11">
        <f t="shared" si="12"/>
        <v>200.86875000000001</v>
      </c>
      <c r="S82" s="19">
        <f t="shared" si="13"/>
        <v>1071.3</v>
      </c>
    </row>
    <row r="83" spans="1:19">
      <c r="A83" s="21" t="s">
        <v>158</v>
      </c>
      <c r="B83" s="21" t="s">
        <v>64</v>
      </c>
      <c r="C83" s="21" t="s">
        <v>11</v>
      </c>
      <c r="D83" s="21" t="s">
        <v>22</v>
      </c>
      <c r="E83" s="21">
        <v>31439</v>
      </c>
      <c r="F83" s="21">
        <v>6287</v>
      </c>
      <c r="G83" s="21">
        <v>1512</v>
      </c>
      <c r="H83" s="21">
        <v>3772</v>
      </c>
      <c r="I83" s="21">
        <v>2270</v>
      </c>
      <c r="J83" s="21">
        <v>33196</v>
      </c>
      <c r="L83" s="6">
        <f t="shared" si="7"/>
        <v>70922</v>
      </c>
      <c r="M83" s="7">
        <f t="shared" si="8"/>
        <v>68652</v>
      </c>
      <c r="N83" s="8">
        <f t="shared" si="9"/>
        <v>3143.9</v>
      </c>
      <c r="O83" s="9">
        <f t="shared" si="10"/>
        <v>1571.95</v>
      </c>
      <c r="P83" s="10">
        <f t="shared" si="11"/>
        <v>33010.950000000004</v>
      </c>
      <c r="Q83" s="11">
        <f t="shared" si="12"/>
        <v>196.49375000000001</v>
      </c>
      <c r="S83" s="19">
        <f t="shared" si="13"/>
        <v>1047.9666666666667</v>
      </c>
    </row>
    <row r="84" spans="1:19">
      <c r="A84" s="21" t="s">
        <v>159</v>
      </c>
      <c r="B84" s="21" t="s">
        <v>160</v>
      </c>
      <c r="C84" s="21" t="s">
        <v>11</v>
      </c>
      <c r="D84" s="21" t="s">
        <v>12</v>
      </c>
      <c r="E84" s="21">
        <v>42176</v>
      </c>
      <c r="F84" s="21">
        <v>8435</v>
      </c>
      <c r="G84" s="21">
        <v>4593</v>
      </c>
      <c r="H84" s="21">
        <v>5061</v>
      </c>
      <c r="I84" s="21">
        <v>1076</v>
      </c>
      <c r="J84" s="21">
        <v>49067</v>
      </c>
      <c r="L84" s="6">
        <f t="shared" si="7"/>
        <v>99678</v>
      </c>
      <c r="M84" s="7">
        <f t="shared" si="8"/>
        <v>98602</v>
      </c>
      <c r="N84" s="8">
        <f t="shared" si="9"/>
        <v>4217.6000000000004</v>
      </c>
      <c r="O84" s="9">
        <f t="shared" si="10"/>
        <v>2108.8000000000002</v>
      </c>
      <c r="P84" s="10">
        <f t="shared" si="11"/>
        <v>44284.800000000003</v>
      </c>
      <c r="Q84" s="11">
        <f t="shared" si="12"/>
        <v>263.60000000000002</v>
      </c>
      <c r="S84" s="19">
        <f t="shared" si="13"/>
        <v>1405.8666666666666</v>
      </c>
    </row>
    <row r="85" spans="1:19">
      <c r="A85" s="21" t="s">
        <v>161</v>
      </c>
      <c r="B85" s="21" t="s">
        <v>126</v>
      </c>
      <c r="C85" s="21" t="s">
        <v>49</v>
      </c>
      <c r="D85" s="21" t="s">
        <v>36</v>
      </c>
      <c r="E85" s="21">
        <v>54289</v>
      </c>
      <c r="F85" s="21">
        <v>10857</v>
      </c>
      <c r="G85" s="21">
        <v>3198</v>
      </c>
      <c r="H85" s="21">
        <v>6514</v>
      </c>
      <c r="I85" s="21">
        <v>1227</v>
      </c>
      <c r="J85" s="21">
        <v>60603</v>
      </c>
      <c r="L85" s="6">
        <f t="shared" si="7"/>
        <v>125749</v>
      </c>
      <c r="M85" s="7">
        <f t="shared" si="8"/>
        <v>124522</v>
      </c>
      <c r="N85" s="8">
        <f t="shared" si="9"/>
        <v>5428.9000000000005</v>
      </c>
      <c r="O85" s="9">
        <f t="shared" si="10"/>
        <v>2714.4500000000003</v>
      </c>
      <c r="P85" s="10">
        <f t="shared" si="11"/>
        <v>57003.450000000004</v>
      </c>
      <c r="Q85" s="11">
        <f t="shared" si="12"/>
        <v>339.30624999999998</v>
      </c>
      <c r="S85" s="19">
        <f t="shared" si="13"/>
        <v>1809.6333333333334</v>
      </c>
    </row>
    <row r="86" spans="1:19">
      <c r="A86" s="21" t="s">
        <v>162</v>
      </c>
      <c r="B86" s="21" t="s">
        <v>126</v>
      </c>
      <c r="C86" s="21" t="s">
        <v>11</v>
      </c>
      <c r="D86" s="21" t="s">
        <v>28</v>
      </c>
      <c r="E86" s="21">
        <v>54471</v>
      </c>
      <c r="F86" s="21">
        <v>10894</v>
      </c>
      <c r="G86" s="21">
        <v>2484</v>
      </c>
      <c r="H86" s="21">
        <v>6536</v>
      </c>
      <c r="I86" s="21">
        <v>1698</v>
      </c>
      <c r="J86" s="21">
        <v>59615</v>
      </c>
      <c r="L86" s="6">
        <f t="shared" si="7"/>
        <v>124980</v>
      </c>
      <c r="M86" s="7">
        <f t="shared" si="8"/>
        <v>123282</v>
      </c>
      <c r="N86" s="8">
        <f t="shared" si="9"/>
        <v>5447.1</v>
      </c>
      <c r="O86" s="9">
        <f t="shared" si="10"/>
        <v>2723.55</v>
      </c>
      <c r="P86" s="10">
        <f t="shared" si="11"/>
        <v>57194.55</v>
      </c>
      <c r="Q86" s="11">
        <f t="shared" si="12"/>
        <v>340.44375000000002</v>
      </c>
      <c r="S86" s="19">
        <f t="shared" si="13"/>
        <v>1815.7</v>
      </c>
    </row>
    <row r="87" spans="1:19">
      <c r="A87" s="21" t="s">
        <v>163</v>
      </c>
      <c r="B87" s="21" t="s">
        <v>164</v>
      </c>
      <c r="C87" s="21" t="s">
        <v>33</v>
      </c>
      <c r="D87" s="21" t="s">
        <v>22</v>
      </c>
      <c r="E87" s="21">
        <v>36150</v>
      </c>
      <c r="F87" s="21">
        <v>7230</v>
      </c>
      <c r="G87" s="21">
        <v>2366</v>
      </c>
      <c r="H87" s="21">
        <v>4338</v>
      </c>
      <c r="I87" s="21">
        <v>2735</v>
      </c>
      <c r="J87" s="21">
        <v>38673</v>
      </c>
      <c r="L87" s="6">
        <f t="shared" si="7"/>
        <v>82053</v>
      </c>
      <c r="M87" s="7">
        <f t="shared" si="8"/>
        <v>79318</v>
      </c>
      <c r="N87" s="8">
        <f t="shared" si="9"/>
        <v>3615</v>
      </c>
      <c r="O87" s="9">
        <f t="shared" si="10"/>
        <v>1807.5</v>
      </c>
      <c r="P87" s="10">
        <f t="shared" si="11"/>
        <v>37957.5</v>
      </c>
      <c r="Q87" s="11">
        <f t="shared" si="12"/>
        <v>225.9375</v>
      </c>
      <c r="S87" s="19">
        <f t="shared" si="13"/>
        <v>1205</v>
      </c>
    </row>
    <row r="88" spans="1:19">
      <c r="A88" s="21" t="s">
        <v>165</v>
      </c>
      <c r="B88" s="21" t="s">
        <v>93</v>
      </c>
      <c r="C88" s="21" t="s">
        <v>49</v>
      </c>
      <c r="D88" s="21" t="s">
        <v>16</v>
      </c>
      <c r="E88" s="21">
        <v>48995</v>
      </c>
      <c r="F88" s="21">
        <v>9799</v>
      </c>
      <c r="G88" s="21">
        <v>1268</v>
      </c>
      <c r="H88" s="21">
        <v>5879</v>
      </c>
      <c r="I88" s="21">
        <v>2577</v>
      </c>
      <c r="J88" s="21">
        <v>51606</v>
      </c>
      <c r="L88" s="6">
        <f t="shared" si="7"/>
        <v>110400</v>
      </c>
      <c r="M88" s="7">
        <f t="shared" si="8"/>
        <v>107823</v>
      </c>
      <c r="N88" s="8">
        <f t="shared" si="9"/>
        <v>4899.5</v>
      </c>
      <c r="O88" s="9">
        <f t="shared" si="10"/>
        <v>2449.75</v>
      </c>
      <c r="P88" s="10">
        <f t="shared" si="11"/>
        <v>51444.75</v>
      </c>
      <c r="Q88" s="11">
        <f t="shared" si="12"/>
        <v>306.21875</v>
      </c>
      <c r="S88" s="19">
        <f t="shared" si="13"/>
        <v>1633.1666666666667</v>
      </c>
    </row>
    <row r="89" spans="1:19">
      <c r="A89" s="21" t="s">
        <v>166</v>
      </c>
      <c r="B89" s="21" t="s">
        <v>167</v>
      </c>
      <c r="C89" s="21" t="s">
        <v>25</v>
      </c>
      <c r="D89" s="21" t="s">
        <v>36</v>
      </c>
      <c r="E89" s="21">
        <v>52666</v>
      </c>
      <c r="F89" s="21">
        <v>10533</v>
      </c>
      <c r="G89" s="21">
        <v>2438</v>
      </c>
      <c r="H89" s="21">
        <v>6319</v>
      </c>
      <c r="I89" s="21">
        <v>879</v>
      </c>
      <c r="J89" s="21">
        <v>58439</v>
      </c>
      <c r="L89" s="6">
        <f t="shared" si="7"/>
        <v>121638</v>
      </c>
      <c r="M89" s="7">
        <f t="shared" si="8"/>
        <v>120759</v>
      </c>
      <c r="N89" s="8">
        <f t="shared" si="9"/>
        <v>5266.6</v>
      </c>
      <c r="O89" s="9">
        <f t="shared" si="10"/>
        <v>2633.3</v>
      </c>
      <c r="P89" s="10">
        <f t="shared" si="11"/>
        <v>55299.3</v>
      </c>
      <c r="Q89" s="11">
        <f t="shared" si="12"/>
        <v>329.16250000000002</v>
      </c>
      <c r="S89" s="19">
        <f t="shared" si="13"/>
        <v>1755.5333333333333</v>
      </c>
    </row>
    <row r="90" spans="1:19">
      <c r="A90" s="21" t="s">
        <v>168</v>
      </c>
      <c r="B90" s="21" t="s">
        <v>169</v>
      </c>
      <c r="C90" s="21" t="s">
        <v>25</v>
      </c>
      <c r="D90" s="21" t="s">
        <v>28</v>
      </c>
      <c r="E90" s="21">
        <v>35729</v>
      </c>
      <c r="F90" s="21">
        <v>7145</v>
      </c>
      <c r="G90" s="21">
        <v>1426</v>
      </c>
      <c r="H90" s="21">
        <v>4287</v>
      </c>
      <c r="I90" s="21">
        <v>1016</v>
      </c>
      <c r="J90" s="21">
        <v>38997</v>
      </c>
      <c r="L90" s="6">
        <f t="shared" si="7"/>
        <v>81871</v>
      </c>
      <c r="M90" s="7">
        <f t="shared" si="8"/>
        <v>80855</v>
      </c>
      <c r="N90" s="8">
        <f t="shared" si="9"/>
        <v>3572.9</v>
      </c>
      <c r="O90" s="9">
        <f t="shared" si="10"/>
        <v>1786.45</v>
      </c>
      <c r="P90" s="10">
        <f t="shared" si="11"/>
        <v>37515.450000000004</v>
      </c>
      <c r="Q90" s="11">
        <f t="shared" si="12"/>
        <v>223.30625000000001</v>
      </c>
      <c r="S90" s="19">
        <f t="shared" si="13"/>
        <v>1190.9666666666667</v>
      </c>
    </row>
    <row r="91" spans="1:19">
      <c r="A91" s="21" t="s">
        <v>170</v>
      </c>
      <c r="B91" s="21" t="s">
        <v>171</v>
      </c>
      <c r="C91" s="21" t="s">
        <v>11</v>
      </c>
      <c r="D91" s="21" t="s">
        <v>12</v>
      </c>
      <c r="E91" s="21">
        <v>41591</v>
      </c>
      <c r="F91" s="21">
        <v>8318</v>
      </c>
      <c r="G91" s="21">
        <v>3044</v>
      </c>
      <c r="H91" s="21">
        <v>4990</v>
      </c>
      <c r="I91" s="21">
        <v>2036</v>
      </c>
      <c r="J91" s="21">
        <v>45927</v>
      </c>
      <c r="L91" s="6">
        <f t="shared" si="7"/>
        <v>95836</v>
      </c>
      <c r="M91" s="7">
        <f t="shared" si="8"/>
        <v>93800</v>
      </c>
      <c r="N91" s="8">
        <f t="shared" si="9"/>
        <v>4159.1000000000004</v>
      </c>
      <c r="O91" s="9">
        <f t="shared" si="10"/>
        <v>2079.5500000000002</v>
      </c>
      <c r="P91" s="10">
        <f t="shared" si="11"/>
        <v>43670.55</v>
      </c>
      <c r="Q91" s="11">
        <f t="shared" si="12"/>
        <v>259.94375000000002</v>
      </c>
      <c r="S91" s="19">
        <f t="shared" si="13"/>
        <v>1386.3666666666666</v>
      </c>
    </row>
    <row r="92" spans="1:19">
      <c r="A92" s="21" t="s">
        <v>172</v>
      </c>
      <c r="B92" s="21" t="s">
        <v>120</v>
      </c>
      <c r="C92" s="21" t="s">
        <v>25</v>
      </c>
      <c r="D92" s="21" t="s">
        <v>12</v>
      </c>
      <c r="E92" s="21">
        <v>31101</v>
      </c>
      <c r="F92" s="21">
        <v>6220</v>
      </c>
      <c r="G92" s="21">
        <v>2879</v>
      </c>
      <c r="H92" s="21">
        <v>3732</v>
      </c>
      <c r="I92" s="21">
        <v>2180</v>
      </c>
      <c r="J92" s="21">
        <v>34288</v>
      </c>
      <c r="L92" s="6">
        <f t="shared" si="7"/>
        <v>71609</v>
      </c>
      <c r="M92" s="7">
        <f t="shared" si="8"/>
        <v>69429</v>
      </c>
      <c r="N92" s="8">
        <f t="shared" si="9"/>
        <v>3110.1000000000004</v>
      </c>
      <c r="O92" s="9">
        <f t="shared" si="10"/>
        <v>1555.0500000000002</v>
      </c>
      <c r="P92" s="10">
        <f t="shared" si="11"/>
        <v>32656.050000000003</v>
      </c>
      <c r="Q92" s="11">
        <f t="shared" si="12"/>
        <v>194.38124999999999</v>
      </c>
      <c r="S92" s="19">
        <f t="shared" si="13"/>
        <v>1036.7</v>
      </c>
    </row>
    <row r="93" spans="1:19">
      <c r="A93" s="21" t="s">
        <v>173</v>
      </c>
      <c r="B93" s="21" t="s">
        <v>174</v>
      </c>
      <c r="C93" s="21" t="s">
        <v>11</v>
      </c>
      <c r="D93" s="21" t="s">
        <v>22</v>
      </c>
      <c r="E93" s="21">
        <v>30885</v>
      </c>
      <c r="F93" s="21">
        <v>6177</v>
      </c>
      <c r="G93" s="21">
        <v>3569</v>
      </c>
      <c r="H93" s="21">
        <v>3706</v>
      </c>
      <c r="I93" s="21">
        <v>1282</v>
      </c>
      <c r="J93" s="21">
        <v>35643</v>
      </c>
      <c r="L93" s="6">
        <f t="shared" si="7"/>
        <v>72705</v>
      </c>
      <c r="M93" s="7">
        <f t="shared" si="8"/>
        <v>71423</v>
      </c>
      <c r="N93" s="8">
        <f t="shared" si="9"/>
        <v>3088.5</v>
      </c>
      <c r="O93" s="9">
        <f t="shared" si="10"/>
        <v>1544.25</v>
      </c>
      <c r="P93" s="10">
        <f t="shared" si="11"/>
        <v>32429.25</v>
      </c>
      <c r="Q93" s="11">
        <f t="shared" si="12"/>
        <v>193.03125</v>
      </c>
      <c r="S93" s="19">
        <f t="shared" si="13"/>
        <v>1029.5</v>
      </c>
    </row>
    <row r="94" spans="1:19">
      <c r="A94" s="21" t="s">
        <v>175</v>
      </c>
      <c r="B94" s="21" t="s">
        <v>14</v>
      </c>
      <c r="C94" s="21" t="s">
        <v>49</v>
      </c>
      <c r="D94" s="21" t="s">
        <v>28</v>
      </c>
      <c r="E94" s="21">
        <v>22996</v>
      </c>
      <c r="F94" s="21">
        <v>4599</v>
      </c>
      <c r="G94" s="21">
        <v>3051</v>
      </c>
      <c r="H94" s="21">
        <v>2759</v>
      </c>
      <c r="I94" s="21">
        <v>1526</v>
      </c>
      <c r="J94" s="21">
        <v>26361</v>
      </c>
      <c r="L94" s="6">
        <f t="shared" si="7"/>
        <v>53956</v>
      </c>
      <c r="M94" s="7">
        <f t="shared" si="8"/>
        <v>52430</v>
      </c>
      <c r="N94" s="8">
        <f t="shared" si="9"/>
        <v>2299.6</v>
      </c>
      <c r="O94" s="9">
        <f t="shared" si="10"/>
        <v>1149.8</v>
      </c>
      <c r="P94" s="10">
        <f t="shared" si="11"/>
        <v>24145.8</v>
      </c>
      <c r="Q94" s="11">
        <f t="shared" si="12"/>
        <v>143.72499999999999</v>
      </c>
      <c r="S94" s="19">
        <f t="shared" si="13"/>
        <v>766.5333333333333</v>
      </c>
    </row>
    <row r="95" spans="1:19">
      <c r="A95" s="21" t="s">
        <v>176</v>
      </c>
      <c r="B95" s="21" t="s">
        <v>177</v>
      </c>
      <c r="C95" s="21" t="s">
        <v>25</v>
      </c>
      <c r="D95" s="21" t="s">
        <v>22</v>
      </c>
      <c r="E95" s="21">
        <v>58043</v>
      </c>
      <c r="F95" s="21">
        <v>11608</v>
      </c>
      <c r="G95" s="21">
        <v>1712</v>
      </c>
      <c r="H95" s="21">
        <v>6965</v>
      </c>
      <c r="I95" s="21">
        <v>1681</v>
      </c>
      <c r="J95" s="21">
        <v>62717</v>
      </c>
      <c r="L95" s="6">
        <f t="shared" si="7"/>
        <v>132368</v>
      </c>
      <c r="M95" s="7">
        <f t="shared" si="8"/>
        <v>130687</v>
      </c>
      <c r="N95" s="8">
        <f t="shared" si="9"/>
        <v>5804.3</v>
      </c>
      <c r="O95" s="9">
        <f t="shared" si="10"/>
        <v>2902.15</v>
      </c>
      <c r="P95" s="10">
        <f t="shared" si="11"/>
        <v>60945.15</v>
      </c>
      <c r="Q95" s="11">
        <f t="shared" si="12"/>
        <v>362.76875000000001</v>
      </c>
      <c r="S95" s="19">
        <f t="shared" si="13"/>
        <v>1934.7666666666667</v>
      </c>
    </row>
    <row r="96" spans="1:19">
      <c r="A96" s="21" t="s">
        <v>178</v>
      </c>
      <c r="B96" s="21" t="s">
        <v>35</v>
      </c>
      <c r="C96" s="21" t="s">
        <v>33</v>
      </c>
      <c r="D96" s="21" t="s">
        <v>12</v>
      </c>
      <c r="E96" s="21">
        <v>28476</v>
      </c>
      <c r="F96" s="21">
        <v>5695</v>
      </c>
      <c r="G96" s="21">
        <v>1392</v>
      </c>
      <c r="H96" s="21">
        <v>3417</v>
      </c>
      <c r="I96" s="21">
        <v>1717</v>
      </c>
      <c r="J96" s="21">
        <v>30429</v>
      </c>
      <c r="L96" s="6">
        <f t="shared" si="7"/>
        <v>64600</v>
      </c>
      <c r="M96" s="7">
        <f t="shared" si="8"/>
        <v>62883</v>
      </c>
      <c r="N96" s="8">
        <f t="shared" si="9"/>
        <v>2847.6000000000004</v>
      </c>
      <c r="O96" s="9">
        <f t="shared" si="10"/>
        <v>1423.8000000000002</v>
      </c>
      <c r="P96" s="10">
        <f t="shared" si="11"/>
        <v>29899.800000000003</v>
      </c>
      <c r="Q96" s="11">
        <f t="shared" si="12"/>
        <v>177.97499999999999</v>
      </c>
      <c r="S96" s="19">
        <f t="shared" si="13"/>
        <v>949.2</v>
      </c>
    </row>
    <row r="97" spans="1:19">
      <c r="A97" s="21" t="s">
        <v>179</v>
      </c>
      <c r="B97" s="21" t="s">
        <v>83</v>
      </c>
      <c r="C97" s="21" t="s">
        <v>15</v>
      </c>
      <c r="D97" s="21" t="s">
        <v>36</v>
      </c>
      <c r="E97" s="21">
        <v>38431</v>
      </c>
      <c r="F97" s="21">
        <v>7686</v>
      </c>
      <c r="G97" s="21">
        <v>4114</v>
      </c>
      <c r="H97" s="21">
        <v>4611</v>
      </c>
      <c r="I97" s="21">
        <v>851</v>
      </c>
      <c r="J97" s="21">
        <v>44769</v>
      </c>
      <c r="L97" s="6">
        <f t="shared" si="7"/>
        <v>90886</v>
      </c>
      <c r="M97" s="7">
        <f t="shared" si="8"/>
        <v>90035</v>
      </c>
      <c r="N97" s="8">
        <f t="shared" si="9"/>
        <v>3843.1000000000004</v>
      </c>
      <c r="O97" s="9">
        <f t="shared" si="10"/>
        <v>1921.5500000000002</v>
      </c>
      <c r="P97" s="10">
        <f t="shared" si="11"/>
        <v>40352.550000000003</v>
      </c>
      <c r="Q97" s="11">
        <f t="shared" si="12"/>
        <v>240.19374999999999</v>
      </c>
      <c r="S97" s="19">
        <f t="shared" si="13"/>
        <v>1281.0333333333333</v>
      </c>
    </row>
    <row r="98" spans="1:19">
      <c r="A98" s="21" t="s">
        <v>180</v>
      </c>
      <c r="B98" s="21" t="s">
        <v>14</v>
      </c>
      <c r="C98" s="21" t="s">
        <v>11</v>
      </c>
      <c r="D98" s="21" t="s">
        <v>22</v>
      </c>
      <c r="E98" s="21">
        <v>29188</v>
      </c>
      <c r="F98" s="21">
        <v>5837</v>
      </c>
      <c r="G98" s="21">
        <v>4273</v>
      </c>
      <c r="H98" s="21">
        <v>3502</v>
      </c>
      <c r="I98" s="21">
        <v>1652</v>
      </c>
      <c r="J98" s="21">
        <v>34144</v>
      </c>
      <c r="L98" s="6">
        <f t="shared" si="7"/>
        <v>69169</v>
      </c>
      <c r="M98" s="7">
        <f t="shared" si="8"/>
        <v>67517</v>
      </c>
      <c r="N98" s="8">
        <f t="shared" si="9"/>
        <v>2918.8</v>
      </c>
      <c r="O98" s="9">
        <f t="shared" si="10"/>
        <v>1459.4</v>
      </c>
      <c r="P98" s="10">
        <f t="shared" si="11"/>
        <v>30647.4</v>
      </c>
      <c r="Q98" s="11">
        <f t="shared" si="12"/>
        <v>182.42500000000001</v>
      </c>
      <c r="S98" s="19">
        <f t="shared" si="13"/>
        <v>972.93333333333328</v>
      </c>
    </row>
    <row r="99" spans="1:19">
      <c r="A99" s="21" t="s">
        <v>181</v>
      </c>
      <c r="B99" s="21" t="s">
        <v>18</v>
      </c>
      <c r="C99" s="21" t="s">
        <v>21</v>
      </c>
      <c r="D99" s="21" t="s">
        <v>22</v>
      </c>
      <c r="E99" s="21">
        <v>43936</v>
      </c>
      <c r="F99" s="21">
        <v>8787</v>
      </c>
      <c r="G99" s="21">
        <v>4077</v>
      </c>
      <c r="H99" s="21">
        <v>5272</v>
      </c>
      <c r="I99" s="21">
        <v>1354</v>
      </c>
      <c r="J99" s="21">
        <v>50174</v>
      </c>
      <c r="L99" s="6">
        <f t="shared" si="7"/>
        <v>102897</v>
      </c>
      <c r="M99" s="7">
        <f t="shared" si="8"/>
        <v>101543</v>
      </c>
      <c r="N99" s="8">
        <f t="shared" si="9"/>
        <v>4393.6000000000004</v>
      </c>
      <c r="O99" s="9">
        <f t="shared" si="10"/>
        <v>2196.8000000000002</v>
      </c>
      <c r="P99" s="10">
        <f t="shared" si="11"/>
        <v>46132.800000000003</v>
      </c>
      <c r="Q99" s="11">
        <f t="shared" si="12"/>
        <v>274.60000000000002</v>
      </c>
      <c r="S99" s="19">
        <f t="shared" si="13"/>
        <v>1464.5333333333333</v>
      </c>
    </row>
    <row r="100" spans="1:19">
      <c r="A100" s="21" t="s">
        <v>182</v>
      </c>
      <c r="B100" s="21" t="s">
        <v>14</v>
      </c>
      <c r="C100" s="21" t="s">
        <v>11</v>
      </c>
      <c r="D100" s="21" t="s">
        <v>28</v>
      </c>
      <c r="E100" s="21">
        <v>42088</v>
      </c>
      <c r="F100" s="21">
        <v>8417</v>
      </c>
      <c r="G100" s="21">
        <v>3212</v>
      </c>
      <c r="H100" s="21">
        <v>5050</v>
      </c>
      <c r="I100" s="21">
        <v>1880</v>
      </c>
      <c r="J100" s="21">
        <v>46787</v>
      </c>
      <c r="L100" s="6">
        <f t="shared" si="7"/>
        <v>97292</v>
      </c>
      <c r="M100" s="7">
        <f t="shared" si="8"/>
        <v>95412</v>
      </c>
      <c r="N100" s="8">
        <f t="shared" si="9"/>
        <v>4208.8</v>
      </c>
      <c r="O100" s="9">
        <f t="shared" si="10"/>
        <v>2104.4</v>
      </c>
      <c r="P100" s="10">
        <f t="shared" si="11"/>
        <v>44192.4</v>
      </c>
      <c r="Q100" s="11">
        <f t="shared" si="12"/>
        <v>263.05</v>
      </c>
      <c r="S100" s="19">
        <f t="shared" si="13"/>
        <v>1402.9333333333334</v>
      </c>
    </row>
    <row r="101" spans="1:19">
      <c r="A101" s="21" t="s">
        <v>183</v>
      </c>
      <c r="B101" s="21" t="s">
        <v>184</v>
      </c>
      <c r="C101" s="21" t="s">
        <v>15</v>
      </c>
      <c r="D101" s="21" t="s">
        <v>12</v>
      </c>
      <c r="E101" s="21">
        <v>33275</v>
      </c>
      <c r="F101" s="21">
        <v>6655</v>
      </c>
      <c r="G101" s="21">
        <v>3400</v>
      </c>
      <c r="H101" s="21">
        <v>3993</v>
      </c>
      <c r="I101" s="21">
        <v>892</v>
      </c>
      <c r="J101" s="21">
        <v>38445</v>
      </c>
      <c r="L101" s="6">
        <f t="shared" si="7"/>
        <v>78375</v>
      </c>
      <c r="M101" s="7">
        <f t="shared" si="8"/>
        <v>77483</v>
      </c>
      <c r="N101" s="8">
        <f t="shared" si="9"/>
        <v>3327.5</v>
      </c>
      <c r="O101" s="9">
        <f t="shared" si="10"/>
        <v>1663.75</v>
      </c>
      <c r="P101" s="10">
        <f t="shared" si="11"/>
        <v>34938.75</v>
      </c>
      <c r="Q101" s="11">
        <f t="shared" si="12"/>
        <v>207.96875</v>
      </c>
      <c r="S101" s="19">
        <f t="shared" si="13"/>
        <v>1109.1666666666667</v>
      </c>
    </row>
    <row r="102" spans="1:19">
      <c r="A102" s="21" t="s">
        <v>185</v>
      </c>
      <c r="B102" s="21" t="s">
        <v>152</v>
      </c>
      <c r="C102" s="21" t="s">
        <v>15</v>
      </c>
      <c r="D102" s="21" t="s">
        <v>12</v>
      </c>
      <c r="E102" s="21">
        <v>36840</v>
      </c>
      <c r="F102" s="21">
        <v>7368</v>
      </c>
      <c r="G102" s="21">
        <v>1566</v>
      </c>
      <c r="H102" s="21">
        <v>4420</v>
      </c>
      <c r="I102" s="21">
        <v>951</v>
      </c>
      <c r="J102" s="21">
        <v>40403</v>
      </c>
      <c r="L102" s="6">
        <f t="shared" si="7"/>
        <v>84611</v>
      </c>
      <c r="M102" s="7">
        <f t="shared" si="8"/>
        <v>83660</v>
      </c>
      <c r="N102" s="8">
        <f t="shared" si="9"/>
        <v>3684</v>
      </c>
      <c r="O102" s="9">
        <f t="shared" si="10"/>
        <v>1842</v>
      </c>
      <c r="P102" s="10">
        <f t="shared" si="11"/>
        <v>38682</v>
      </c>
      <c r="Q102" s="11">
        <f t="shared" si="12"/>
        <v>230.25</v>
      </c>
      <c r="S102" s="19">
        <f t="shared" si="13"/>
        <v>1228</v>
      </c>
    </row>
    <row r="103" spans="1:19">
      <c r="A103" s="21" t="s">
        <v>186</v>
      </c>
      <c r="B103" s="21" t="s">
        <v>187</v>
      </c>
      <c r="C103" s="21" t="s">
        <v>25</v>
      </c>
      <c r="D103" s="21" t="s">
        <v>36</v>
      </c>
      <c r="E103" s="21">
        <v>23879</v>
      </c>
      <c r="F103" s="21">
        <v>4775</v>
      </c>
      <c r="G103" s="21">
        <v>3648</v>
      </c>
      <c r="H103" s="21">
        <v>2865</v>
      </c>
      <c r="I103" s="21">
        <v>2560</v>
      </c>
      <c r="J103" s="21">
        <v>26877</v>
      </c>
      <c r="L103" s="6">
        <f t="shared" si="7"/>
        <v>55531</v>
      </c>
      <c r="M103" s="7">
        <f t="shared" si="8"/>
        <v>52971</v>
      </c>
      <c r="N103" s="8">
        <f t="shared" si="9"/>
        <v>2387.9</v>
      </c>
      <c r="O103" s="9">
        <f t="shared" si="10"/>
        <v>1193.95</v>
      </c>
      <c r="P103" s="10">
        <f t="shared" si="11"/>
        <v>25072.95</v>
      </c>
      <c r="Q103" s="11">
        <f t="shared" si="12"/>
        <v>149.24375000000001</v>
      </c>
      <c r="S103" s="19">
        <f t="shared" si="13"/>
        <v>795.9666666666667</v>
      </c>
    </row>
    <row r="104" spans="1:19">
      <c r="A104" s="21" t="s">
        <v>188</v>
      </c>
      <c r="B104" s="21" t="s">
        <v>18</v>
      </c>
      <c r="C104" s="21" t="s">
        <v>15</v>
      </c>
      <c r="D104" s="21" t="s">
        <v>22</v>
      </c>
      <c r="E104" s="21">
        <v>16613</v>
      </c>
      <c r="F104" s="21">
        <v>3322</v>
      </c>
      <c r="G104" s="21">
        <v>2518</v>
      </c>
      <c r="H104" s="21">
        <v>1993</v>
      </c>
      <c r="I104" s="21">
        <v>1278</v>
      </c>
      <c r="J104" s="21">
        <v>19182</v>
      </c>
      <c r="L104" s="6">
        <f t="shared" si="7"/>
        <v>39117</v>
      </c>
      <c r="M104" s="7">
        <f t="shared" si="8"/>
        <v>37839</v>
      </c>
      <c r="N104" s="8">
        <f t="shared" si="9"/>
        <v>1661.3000000000002</v>
      </c>
      <c r="O104" s="9">
        <f t="shared" si="10"/>
        <v>830.65000000000009</v>
      </c>
      <c r="P104" s="10">
        <f t="shared" si="11"/>
        <v>17443.650000000001</v>
      </c>
      <c r="Q104" s="11">
        <f t="shared" si="12"/>
        <v>103.83125</v>
      </c>
      <c r="S104" s="19">
        <f t="shared" si="13"/>
        <v>553.76666666666665</v>
      </c>
    </row>
    <row r="105" spans="1:19">
      <c r="A105" s="21" t="s">
        <v>189</v>
      </c>
      <c r="B105" s="21" t="s">
        <v>38</v>
      </c>
      <c r="C105" s="21" t="s">
        <v>25</v>
      </c>
      <c r="D105" s="21" t="s">
        <v>28</v>
      </c>
      <c r="E105" s="21">
        <v>48204</v>
      </c>
      <c r="F105" s="21">
        <v>9640</v>
      </c>
      <c r="G105" s="21">
        <v>2771</v>
      </c>
      <c r="H105" s="21">
        <v>5784</v>
      </c>
      <c r="I105" s="21">
        <v>1118</v>
      </c>
      <c r="J105" s="21">
        <v>53713</v>
      </c>
      <c r="L105" s="6">
        <f t="shared" si="7"/>
        <v>111557</v>
      </c>
      <c r="M105" s="7">
        <f t="shared" si="8"/>
        <v>110439</v>
      </c>
      <c r="N105" s="8">
        <f t="shared" si="9"/>
        <v>4820.4000000000005</v>
      </c>
      <c r="O105" s="9">
        <f t="shared" si="10"/>
        <v>2410.2000000000003</v>
      </c>
      <c r="P105" s="10">
        <f t="shared" si="11"/>
        <v>50614.200000000004</v>
      </c>
      <c r="Q105" s="11">
        <f t="shared" si="12"/>
        <v>301.27499999999998</v>
      </c>
      <c r="S105" s="19">
        <f t="shared" si="13"/>
        <v>1606.8</v>
      </c>
    </row>
    <row r="106" spans="1:19">
      <c r="A106" s="21" t="s">
        <v>190</v>
      </c>
      <c r="B106" s="21" t="s">
        <v>126</v>
      </c>
      <c r="C106" s="21" t="s">
        <v>11</v>
      </c>
      <c r="D106" s="21" t="s">
        <v>28</v>
      </c>
      <c r="E106" s="21">
        <v>22581</v>
      </c>
      <c r="F106" s="21">
        <v>4516</v>
      </c>
      <c r="G106" s="21">
        <v>1528</v>
      </c>
      <c r="H106" s="21">
        <v>2709</v>
      </c>
      <c r="I106" s="21">
        <v>1639</v>
      </c>
      <c r="J106" s="21">
        <v>24277</v>
      </c>
      <c r="L106" s="6">
        <f t="shared" si="7"/>
        <v>51374</v>
      </c>
      <c r="M106" s="7">
        <f t="shared" si="8"/>
        <v>49735</v>
      </c>
      <c r="N106" s="8">
        <f t="shared" si="9"/>
        <v>2258.1</v>
      </c>
      <c r="O106" s="9">
        <f t="shared" si="10"/>
        <v>1129.05</v>
      </c>
      <c r="P106" s="10">
        <f t="shared" si="11"/>
        <v>23710.05</v>
      </c>
      <c r="Q106" s="11">
        <f t="shared" si="12"/>
        <v>141.13124999999999</v>
      </c>
      <c r="S106" s="19">
        <f t="shared" si="13"/>
        <v>752.7</v>
      </c>
    </row>
    <row r="107" spans="1:19">
      <c r="A107" s="21" t="s">
        <v>191</v>
      </c>
      <c r="B107" s="21" t="s">
        <v>48</v>
      </c>
      <c r="C107" s="21" t="s">
        <v>33</v>
      </c>
      <c r="D107" s="21" t="s">
        <v>36</v>
      </c>
      <c r="E107" s="21">
        <v>43259</v>
      </c>
      <c r="F107" s="21">
        <v>8651</v>
      </c>
      <c r="G107" s="21">
        <v>3764</v>
      </c>
      <c r="H107" s="21">
        <v>5191</v>
      </c>
      <c r="I107" s="21">
        <v>1145</v>
      </c>
      <c r="J107" s="21">
        <v>49338</v>
      </c>
      <c r="L107" s="6">
        <f t="shared" si="7"/>
        <v>101248</v>
      </c>
      <c r="M107" s="7">
        <f t="shared" si="8"/>
        <v>100103</v>
      </c>
      <c r="N107" s="8">
        <f t="shared" si="9"/>
        <v>4325.9000000000005</v>
      </c>
      <c r="O107" s="9">
        <f t="shared" si="10"/>
        <v>2162.9500000000003</v>
      </c>
      <c r="P107" s="10">
        <f t="shared" si="11"/>
        <v>45421.950000000004</v>
      </c>
      <c r="Q107" s="11">
        <f t="shared" si="12"/>
        <v>270.36874999999998</v>
      </c>
      <c r="S107" s="19">
        <f t="shared" si="13"/>
        <v>1441.9666666666667</v>
      </c>
    </row>
    <row r="108" spans="1:19">
      <c r="A108" s="21" t="s">
        <v>192</v>
      </c>
      <c r="B108" s="21" t="s">
        <v>62</v>
      </c>
      <c r="C108" s="21" t="s">
        <v>21</v>
      </c>
      <c r="D108" s="21" t="s">
        <v>16</v>
      </c>
      <c r="E108" s="21">
        <v>54689</v>
      </c>
      <c r="F108" s="21">
        <v>10937</v>
      </c>
      <c r="G108" s="21">
        <v>4211</v>
      </c>
      <c r="H108" s="21">
        <v>6562</v>
      </c>
      <c r="I108" s="21">
        <v>2548</v>
      </c>
      <c r="J108" s="21">
        <v>60727</v>
      </c>
      <c r="L108" s="6">
        <f t="shared" si="7"/>
        <v>126353</v>
      </c>
      <c r="M108" s="7">
        <f t="shared" si="8"/>
        <v>123805</v>
      </c>
      <c r="N108" s="8">
        <f t="shared" si="9"/>
        <v>5468.9000000000005</v>
      </c>
      <c r="O108" s="9">
        <f t="shared" si="10"/>
        <v>2734.4500000000003</v>
      </c>
      <c r="P108" s="10">
        <f t="shared" si="11"/>
        <v>57423.450000000004</v>
      </c>
      <c r="Q108" s="11">
        <f t="shared" si="12"/>
        <v>341.80624999999998</v>
      </c>
      <c r="S108" s="19">
        <f t="shared" si="13"/>
        <v>1822.9666666666667</v>
      </c>
    </row>
    <row r="109" spans="1:19">
      <c r="A109" s="21" t="s">
        <v>193</v>
      </c>
      <c r="B109" s="21" t="s">
        <v>143</v>
      </c>
      <c r="C109" s="21" t="s">
        <v>33</v>
      </c>
      <c r="D109" s="21" t="s">
        <v>22</v>
      </c>
      <c r="E109" s="21">
        <v>55145</v>
      </c>
      <c r="F109" s="21">
        <v>11029</v>
      </c>
      <c r="G109" s="21">
        <v>4126</v>
      </c>
      <c r="H109" s="21">
        <v>6617</v>
      </c>
      <c r="I109" s="21">
        <v>2824</v>
      </c>
      <c r="J109" s="21">
        <v>60859</v>
      </c>
      <c r="L109" s="6">
        <f t="shared" si="7"/>
        <v>127033</v>
      </c>
      <c r="M109" s="7">
        <f t="shared" si="8"/>
        <v>124209</v>
      </c>
      <c r="N109" s="8">
        <f t="shared" si="9"/>
        <v>5514.5</v>
      </c>
      <c r="O109" s="9">
        <f t="shared" si="10"/>
        <v>2757.25</v>
      </c>
      <c r="P109" s="10">
        <f t="shared" si="11"/>
        <v>57902.25</v>
      </c>
      <c r="Q109" s="11">
        <f t="shared" si="12"/>
        <v>344.65625</v>
      </c>
      <c r="S109" s="19">
        <f t="shared" si="13"/>
        <v>1838.1666666666667</v>
      </c>
    </row>
    <row r="110" spans="1:19">
      <c r="A110" s="21" t="s">
        <v>194</v>
      </c>
      <c r="B110" s="21" t="s">
        <v>174</v>
      </c>
      <c r="C110" s="21" t="s">
        <v>25</v>
      </c>
      <c r="D110" s="21" t="s">
        <v>22</v>
      </c>
      <c r="E110" s="21">
        <v>50491</v>
      </c>
      <c r="F110" s="21">
        <v>10098</v>
      </c>
      <c r="G110" s="21">
        <v>3852</v>
      </c>
      <c r="H110" s="21">
        <v>6058</v>
      </c>
      <c r="I110" s="21">
        <v>922</v>
      </c>
      <c r="J110" s="21">
        <v>57461</v>
      </c>
      <c r="L110" s="6">
        <f t="shared" si="7"/>
        <v>118050</v>
      </c>
      <c r="M110" s="7">
        <f t="shared" si="8"/>
        <v>117128</v>
      </c>
      <c r="N110" s="8">
        <f t="shared" si="9"/>
        <v>5049.1000000000004</v>
      </c>
      <c r="O110" s="9">
        <f t="shared" si="10"/>
        <v>2524.5500000000002</v>
      </c>
      <c r="P110" s="10">
        <f t="shared" si="11"/>
        <v>53015.55</v>
      </c>
      <c r="Q110" s="11">
        <f t="shared" si="12"/>
        <v>315.56875000000002</v>
      </c>
      <c r="S110" s="19">
        <f t="shared" si="13"/>
        <v>1683.0333333333333</v>
      </c>
    </row>
    <row r="111" spans="1:19">
      <c r="A111" s="21" t="s">
        <v>195</v>
      </c>
      <c r="B111" s="21" t="s">
        <v>138</v>
      </c>
      <c r="C111" s="21" t="s">
        <v>33</v>
      </c>
      <c r="D111" s="21" t="s">
        <v>22</v>
      </c>
      <c r="E111" s="21">
        <v>53909</v>
      </c>
      <c r="F111" s="21">
        <v>10781</v>
      </c>
      <c r="G111" s="21">
        <v>3171</v>
      </c>
      <c r="H111" s="21">
        <v>6469</v>
      </c>
      <c r="I111" s="21">
        <v>2682</v>
      </c>
      <c r="J111" s="21">
        <v>58710</v>
      </c>
      <c r="L111" s="6">
        <f t="shared" si="7"/>
        <v>123400</v>
      </c>
      <c r="M111" s="7">
        <f t="shared" si="8"/>
        <v>120718</v>
      </c>
      <c r="N111" s="8">
        <f t="shared" si="9"/>
        <v>5390.9000000000005</v>
      </c>
      <c r="O111" s="9">
        <f t="shared" si="10"/>
        <v>2695.4500000000003</v>
      </c>
      <c r="P111" s="10">
        <f t="shared" si="11"/>
        <v>56604.450000000004</v>
      </c>
      <c r="Q111" s="11">
        <f t="shared" si="12"/>
        <v>336.93124999999998</v>
      </c>
      <c r="S111" s="19">
        <f t="shared" si="13"/>
        <v>1796.9666666666667</v>
      </c>
    </row>
    <row r="112" spans="1:19">
      <c r="A112" s="21" t="s">
        <v>196</v>
      </c>
      <c r="B112" s="21" t="s">
        <v>67</v>
      </c>
      <c r="C112" s="21" t="s">
        <v>25</v>
      </c>
      <c r="D112" s="21" t="s">
        <v>28</v>
      </c>
      <c r="E112" s="21">
        <v>16230</v>
      </c>
      <c r="F112" s="21">
        <v>3246</v>
      </c>
      <c r="G112" s="21">
        <v>4737</v>
      </c>
      <c r="H112" s="21">
        <v>1947</v>
      </c>
      <c r="I112" s="21">
        <v>1364</v>
      </c>
      <c r="J112" s="21">
        <v>20902</v>
      </c>
      <c r="L112" s="6">
        <f t="shared" si="7"/>
        <v>40378</v>
      </c>
      <c r="M112" s="7">
        <f t="shared" si="8"/>
        <v>39014</v>
      </c>
      <c r="N112" s="8">
        <f t="shared" si="9"/>
        <v>1623</v>
      </c>
      <c r="O112" s="9">
        <f t="shared" si="10"/>
        <v>811.5</v>
      </c>
      <c r="P112" s="10">
        <f t="shared" si="11"/>
        <v>17041.5</v>
      </c>
      <c r="Q112" s="11">
        <f t="shared" si="12"/>
        <v>101.4375</v>
      </c>
      <c r="S112" s="19">
        <f t="shared" si="13"/>
        <v>541</v>
      </c>
    </row>
    <row r="113" spans="1:19">
      <c r="A113" s="21" t="s">
        <v>197</v>
      </c>
      <c r="B113" s="21" t="s">
        <v>156</v>
      </c>
      <c r="C113" s="21" t="s">
        <v>21</v>
      </c>
      <c r="D113" s="21" t="s">
        <v>16</v>
      </c>
      <c r="E113" s="21">
        <v>20167</v>
      </c>
      <c r="F113" s="21">
        <v>4033</v>
      </c>
      <c r="G113" s="21">
        <v>3058</v>
      </c>
      <c r="H113" s="21">
        <v>2420</v>
      </c>
      <c r="I113" s="21">
        <v>2435</v>
      </c>
      <c r="J113" s="21">
        <v>22403</v>
      </c>
      <c r="L113" s="6">
        <f t="shared" si="7"/>
        <v>46603</v>
      </c>
      <c r="M113" s="7">
        <f t="shared" si="8"/>
        <v>44168</v>
      </c>
      <c r="N113" s="8">
        <f t="shared" si="9"/>
        <v>2016.7</v>
      </c>
      <c r="O113" s="9">
        <f t="shared" si="10"/>
        <v>1008.35</v>
      </c>
      <c r="P113" s="10">
        <f t="shared" si="11"/>
        <v>21175.350000000002</v>
      </c>
      <c r="Q113" s="11">
        <f t="shared" si="12"/>
        <v>126.04375</v>
      </c>
      <c r="S113" s="19">
        <f t="shared" si="13"/>
        <v>672.23333333333335</v>
      </c>
    </row>
    <row r="114" spans="1:19">
      <c r="A114" s="21" t="s">
        <v>198</v>
      </c>
      <c r="B114" s="21" t="s">
        <v>46</v>
      </c>
      <c r="C114" s="21" t="s">
        <v>11</v>
      </c>
      <c r="D114" s="21" t="s">
        <v>28</v>
      </c>
      <c r="E114" s="21">
        <v>41355</v>
      </c>
      <c r="F114" s="21">
        <v>8271</v>
      </c>
      <c r="G114" s="21">
        <v>4809</v>
      </c>
      <c r="H114" s="21">
        <v>4962</v>
      </c>
      <c r="I114" s="21">
        <v>940</v>
      </c>
      <c r="J114" s="21">
        <v>48533</v>
      </c>
      <c r="L114" s="6">
        <f t="shared" si="7"/>
        <v>98159</v>
      </c>
      <c r="M114" s="7">
        <f t="shared" si="8"/>
        <v>97219</v>
      </c>
      <c r="N114" s="8">
        <f t="shared" si="9"/>
        <v>4135.5</v>
      </c>
      <c r="O114" s="9">
        <f t="shared" si="10"/>
        <v>2067.75</v>
      </c>
      <c r="P114" s="10">
        <f t="shared" si="11"/>
        <v>43422.75</v>
      </c>
      <c r="Q114" s="11">
        <f t="shared" si="12"/>
        <v>258.46875</v>
      </c>
      <c r="S114" s="19">
        <f t="shared" si="13"/>
        <v>1378.5</v>
      </c>
    </row>
    <row r="115" spans="1:19">
      <c r="A115" s="21" t="s">
        <v>199</v>
      </c>
      <c r="B115" s="21" t="s">
        <v>200</v>
      </c>
      <c r="C115" s="21" t="s">
        <v>33</v>
      </c>
      <c r="D115" s="21" t="s">
        <v>16</v>
      </c>
      <c r="E115" s="21">
        <v>42998</v>
      </c>
      <c r="F115" s="21">
        <v>8599</v>
      </c>
      <c r="G115" s="21">
        <v>2549</v>
      </c>
      <c r="H115" s="21">
        <v>5159</v>
      </c>
      <c r="I115" s="21">
        <v>2580</v>
      </c>
      <c r="J115" s="21">
        <v>46407</v>
      </c>
      <c r="L115" s="6">
        <f t="shared" si="7"/>
        <v>98004</v>
      </c>
      <c r="M115" s="7">
        <f t="shared" si="8"/>
        <v>95424</v>
      </c>
      <c r="N115" s="8">
        <f t="shared" si="9"/>
        <v>4299.8</v>
      </c>
      <c r="O115" s="9">
        <f t="shared" si="10"/>
        <v>2149.9</v>
      </c>
      <c r="P115" s="10">
        <f t="shared" si="11"/>
        <v>45147.9</v>
      </c>
      <c r="Q115" s="11">
        <f t="shared" si="12"/>
        <v>268.73750000000001</v>
      </c>
      <c r="S115" s="19">
        <f t="shared" si="13"/>
        <v>1433.2666666666667</v>
      </c>
    </row>
    <row r="116" spans="1:19">
      <c r="A116" s="21" t="s">
        <v>201</v>
      </c>
      <c r="B116" s="21" t="s">
        <v>95</v>
      </c>
      <c r="C116" s="21" t="s">
        <v>33</v>
      </c>
      <c r="D116" s="21" t="s">
        <v>16</v>
      </c>
      <c r="E116" s="21">
        <v>31672</v>
      </c>
      <c r="F116" s="21">
        <v>6334</v>
      </c>
      <c r="G116" s="21">
        <v>4247</v>
      </c>
      <c r="H116" s="21">
        <v>3800</v>
      </c>
      <c r="I116" s="21">
        <v>2002</v>
      </c>
      <c r="J116" s="21">
        <v>36451</v>
      </c>
      <c r="L116" s="6">
        <f t="shared" si="7"/>
        <v>74457</v>
      </c>
      <c r="M116" s="7">
        <f t="shared" si="8"/>
        <v>72455</v>
      </c>
      <c r="N116" s="8">
        <f t="shared" si="9"/>
        <v>3167.2000000000003</v>
      </c>
      <c r="O116" s="9">
        <f t="shared" si="10"/>
        <v>1583.6000000000001</v>
      </c>
      <c r="P116" s="10">
        <f t="shared" si="11"/>
        <v>33255.599999999999</v>
      </c>
      <c r="Q116" s="11">
        <f t="shared" si="12"/>
        <v>197.95</v>
      </c>
      <c r="S116" s="19">
        <f t="shared" si="13"/>
        <v>1055.7333333333333</v>
      </c>
    </row>
    <row r="117" spans="1:19">
      <c r="A117" s="21" t="s">
        <v>202</v>
      </c>
      <c r="B117" s="21" t="s">
        <v>48</v>
      </c>
      <c r="C117" s="21" t="s">
        <v>49</v>
      </c>
      <c r="D117" s="21" t="s">
        <v>16</v>
      </c>
      <c r="E117" s="21">
        <v>58145</v>
      </c>
      <c r="F117" s="21">
        <v>11629</v>
      </c>
      <c r="G117" s="21">
        <v>4369</v>
      </c>
      <c r="H117" s="21">
        <v>6977</v>
      </c>
      <c r="I117" s="21">
        <v>2332</v>
      </c>
      <c r="J117" s="21">
        <v>64834</v>
      </c>
      <c r="L117" s="6">
        <f t="shared" si="7"/>
        <v>134608</v>
      </c>
      <c r="M117" s="7">
        <f t="shared" si="8"/>
        <v>132276</v>
      </c>
      <c r="N117" s="8">
        <f t="shared" si="9"/>
        <v>5814.5</v>
      </c>
      <c r="O117" s="9">
        <f t="shared" si="10"/>
        <v>2907.25</v>
      </c>
      <c r="P117" s="10">
        <f t="shared" si="11"/>
        <v>61052.25</v>
      </c>
      <c r="Q117" s="11">
        <f t="shared" si="12"/>
        <v>363.40625</v>
      </c>
      <c r="S117" s="19">
        <f t="shared" si="13"/>
        <v>1938.1666666666667</v>
      </c>
    </row>
    <row r="118" spans="1:19">
      <c r="A118" s="21" t="s">
        <v>203</v>
      </c>
      <c r="B118" s="21" t="s">
        <v>204</v>
      </c>
      <c r="C118" s="21" t="s">
        <v>33</v>
      </c>
      <c r="D118" s="21" t="s">
        <v>28</v>
      </c>
      <c r="E118" s="21">
        <v>35968</v>
      </c>
      <c r="F118" s="21">
        <v>7193</v>
      </c>
      <c r="G118" s="21">
        <v>4177</v>
      </c>
      <c r="H118" s="21">
        <v>4316</v>
      </c>
      <c r="I118" s="21">
        <v>2962</v>
      </c>
      <c r="J118" s="21">
        <v>40060</v>
      </c>
      <c r="L118" s="6">
        <f t="shared" si="7"/>
        <v>83221</v>
      </c>
      <c r="M118" s="7">
        <f t="shared" si="8"/>
        <v>80259</v>
      </c>
      <c r="N118" s="8">
        <f t="shared" si="9"/>
        <v>3596.8</v>
      </c>
      <c r="O118" s="9">
        <f t="shared" si="10"/>
        <v>1798.4</v>
      </c>
      <c r="P118" s="10">
        <f t="shared" si="11"/>
        <v>37766.400000000001</v>
      </c>
      <c r="Q118" s="11">
        <f t="shared" si="12"/>
        <v>224.8</v>
      </c>
      <c r="S118" s="19">
        <f t="shared" si="13"/>
        <v>1198.9333333333334</v>
      </c>
    </row>
    <row r="119" spans="1:19">
      <c r="A119" s="21" t="s">
        <v>205</v>
      </c>
      <c r="B119" s="21" t="s">
        <v>206</v>
      </c>
      <c r="C119" s="21" t="s">
        <v>33</v>
      </c>
      <c r="D119" s="21" t="s">
        <v>28</v>
      </c>
      <c r="E119" s="21">
        <v>56069</v>
      </c>
      <c r="F119" s="21">
        <v>11213</v>
      </c>
      <c r="G119" s="21">
        <v>3149</v>
      </c>
      <c r="H119" s="21">
        <v>6728</v>
      </c>
      <c r="I119" s="21">
        <v>1826</v>
      </c>
      <c r="J119" s="21">
        <v>61877</v>
      </c>
      <c r="L119" s="6">
        <f t="shared" si="7"/>
        <v>129159</v>
      </c>
      <c r="M119" s="7">
        <f t="shared" si="8"/>
        <v>127333</v>
      </c>
      <c r="N119" s="8">
        <f t="shared" si="9"/>
        <v>5606.9000000000005</v>
      </c>
      <c r="O119" s="9">
        <f t="shared" si="10"/>
        <v>2803.4500000000003</v>
      </c>
      <c r="P119" s="10">
        <f t="shared" si="11"/>
        <v>58872.450000000004</v>
      </c>
      <c r="Q119" s="11">
        <f t="shared" si="12"/>
        <v>350.43124999999998</v>
      </c>
      <c r="S119" s="19">
        <f t="shared" si="13"/>
        <v>1868.9666666666667</v>
      </c>
    </row>
    <row r="120" spans="1:19">
      <c r="A120" s="21" t="s">
        <v>207</v>
      </c>
      <c r="B120" s="21" t="s">
        <v>184</v>
      </c>
      <c r="C120" s="21" t="s">
        <v>15</v>
      </c>
      <c r="D120" s="21" t="s">
        <v>12</v>
      </c>
      <c r="E120" s="21">
        <v>26258</v>
      </c>
      <c r="F120" s="21">
        <v>5251</v>
      </c>
      <c r="G120" s="21">
        <v>3620</v>
      </c>
      <c r="H120" s="21">
        <v>3150</v>
      </c>
      <c r="I120" s="21">
        <v>507</v>
      </c>
      <c r="J120" s="21">
        <v>31472</v>
      </c>
      <c r="L120" s="6">
        <f t="shared" si="7"/>
        <v>62981</v>
      </c>
      <c r="M120" s="7">
        <f t="shared" si="8"/>
        <v>62474</v>
      </c>
      <c r="N120" s="8">
        <f t="shared" si="9"/>
        <v>2625.8</v>
      </c>
      <c r="O120" s="9">
        <f t="shared" si="10"/>
        <v>1312.9</v>
      </c>
      <c r="P120" s="10">
        <f t="shared" si="11"/>
        <v>27570.9</v>
      </c>
      <c r="Q120" s="11">
        <f t="shared" si="12"/>
        <v>164.11250000000001</v>
      </c>
      <c r="S120" s="19">
        <f t="shared" si="13"/>
        <v>875.26666666666665</v>
      </c>
    </row>
    <row r="121" spans="1:19">
      <c r="A121" s="21" t="s">
        <v>208</v>
      </c>
      <c r="B121" s="21" t="s">
        <v>209</v>
      </c>
      <c r="C121" s="21" t="s">
        <v>21</v>
      </c>
      <c r="D121" s="21" t="s">
        <v>22</v>
      </c>
      <c r="E121" s="21">
        <v>33144</v>
      </c>
      <c r="F121" s="21">
        <v>6628</v>
      </c>
      <c r="G121" s="21">
        <v>4997</v>
      </c>
      <c r="H121" s="21">
        <v>3977</v>
      </c>
      <c r="I121" s="21">
        <v>1438</v>
      </c>
      <c r="J121" s="21">
        <v>39354</v>
      </c>
      <c r="L121" s="6">
        <f t="shared" si="7"/>
        <v>79126</v>
      </c>
      <c r="M121" s="7">
        <f t="shared" si="8"/>
        <v>77688</v>
      </c>
      <c r="N121" s="8">
        <f t="shared" si="9"/>
        <v>3314.4</v>
      </c>
      <c r="O121" s="9">
        <f t="shared" si="10"/>
        <v>1657.2</v>
      </c>
      <c r="P121" s="10">
        <f t="shared" si="11"/>
        <v>34801.200000000004</v>
      </c>
      <c r="Q121" s="11">
        <f t="shared" si="12"/>
        <v>207.15</v>
      </c>
      <c r="S121" s="19">
        <f t="shared" si="13"/>
        <v>1104.8</v>
      </c>
    </row>
    <row r="122" spans="1:19">
      <c r="A122" s="21" t="s">
        <v>210</v>
      </c>
      <c r="B122" s="21" t="s">
        <v>177</v>
      </c>
      <c r="C122" s="21" t="s">
        <v>49</v>
      </c>
      <c r="D122" s="21" t="s">
        <v>22</v>
      </c>
      <c r="E122" s="21">
        <v>57694</v>
      </c>
      <c r="F122" s="21">
        <v>11538</v>
      </c>
      <c r="G122" s="21">
        <v>4034</v>
      </c>
      <c r="H122" s="21">
        <v>6923</v>
      </c>
      <c r="I122" s="21">
        <v>2056</v>
      </c>
      <c r="J122" s="21">
        <v>64287</v>
      </c>
      <c r="L122" s="6">
        <f t="shared" si="7"/>
        <v>133519</v>
      </c>
      <c r="M122" s="7">
        <f t="shared" si="8"/>
        <v>131463</v>
      </c>
      <c r="N122" s="8">
        <f t="shared" si="9"/>
        <v>5769.4000000000005</v>
      </c>
      <c r="O122" s="9">
        <f t="shared" si="10"/>
        <v>2884.7000000000003</v>
      </c>
      <c r="P122" s="10">
        <f t="shared" si="11"/>
        <v>60578.700000000004</v>
      </c>
      <c r="Q122" s="11">
        <f t="shared" si="12"/>
        <v>360.58749999999998</v>
      </c>
      <c r="S122" s="19">
        <f t="shared" si="13"/>
        <v>1923.1333333333334</v>
      </c>
    </row>
    <row r="123" spans="1:19">
      <c r="A123" s="21" t="s">
        <v>211</v>
      </c>
      <c r="B123" s="21" t="s">
        <v>120</v>
      </c>
      <c r="C123" s="21" t="s">
        <v>33</v>
      </c>
      <c r="D123" s="21" t="s">
        <v>16</v>
      </c>
      <c r="E123" s="21">
        <v>22293</v>
      </c>
      <c r="F123" s="21">
        <v>4458</v>
      </c>
      <c r="G123" s="21">
        <v>2401</v>
      </c>
      <c r="H123" s="21">
        <v>2675</v>
      </c>
      <c r="I123" s="21">
        <v>2672</v>
      </c>
      <c r="J123" s="21">
        <v>23805</v>
      </c>
      <c r="L123" s="6">
        <f t="shared" si="7"/>
        <v>50556</v>
      </c>
      <c r="M123" s="7">
        <f t="shared" si="8"/>
        <v>47884</v>
      </c>
      <c r="N123" s="8">
        <f t="shared" si="9"/>
        <v>2229.3000000000002</v>
      </c>
      <c r="O123" s="9">
        <f t="shared" si="10"/>
        <v>1114.6500000000001</v>
      </c>
      <c r="P123" s="10">
        <f t="shared" si="11"/>
        <v>23407.65</v>
      </c>
      <c r="Q123" s="11">
        <f t="shared" si="12"/>
        <v>139.33125000000001</v>
      </c>
      <c r="S123" s="19">
        <f t="shared" si="13"/>
        <v>743.1</v>
      </c>
    </row>
    <row r="124" spans="1:19">
      <c r="A124" s="21" t="s">
        <v>212</v>
      </c>
      <c r="B124" s="21" t="s">
        <v>213</v>
      </c>
      <c r="C124" s="21" t="s">
        <v>11</v>
      </c>
      <c r="D124" s="21" t="s">
        <v>28</v>
      </c>
      <c r="E124" s="21">
        <v>55922</v>
      </c>
      <c r="F124" s="21">
        <v>11184</v>
      </c>
      <c r="G124" s="21">
        <v>1414</v>
      </c>
      <c r="H124" s="21">
        <v>6710</v>
      </c>
      <c r="I124" s="21">
        <v>2072</v>
      </c>
      <c r="J124" s="21">
        <v>59738</v>
      </c>
      <c r="L124" s="6">
        <f t="shared" si="7"/>
        <v>126844</v>
      </c>
      <c r="M124" s="7">
        <f t="shared" si="8"/>
        <v>124772</v>
      </c>
      <c r="N124" s="8">
        <f t="shared" si="9"/>
        <v>5592.2000000000007</v>
      </c>
      <c r="O124" s="9">
        <f t="shared" si="10"/>
        <v>2796.1000000000004</v>
      </c>
      <c r="P124" s="10">
        <f t="shared" si="11"/>
        <v>58718.100000000006</v>
      </c>
      <c r="Q124" s="11">
        <f t="shared" si="12"/>
        <v>349.51249999999999</v>
      </c>
      <c r="S124" s="19">
        <f t="shared" si="13"/>
        <v>1864.0666666666666</v>
      </c>
    </row>
    <row r="125" spans="1:19">
      <c r="A125" s="21" t="s">
        <v>214</v>
      </c>
      <c r="B125" s="21" t="s">
        <v>58</v>
      </c>
      <c r="C125" s="21" t="s">
        <v>11</v>
      </c>
      <c r="D125" s="21" t="s">
        <v>12</v>
      </c>
      <c r="E125" s="21">
        <v>44515</v>
      </c>
      <c r="F125" s="21">
        <v>8903</v>
      </c>
      <c r="G125" s="21">
        <v>4534</v>
      </c>
      <c r="H125" s="21">
        <v>5341</v>
      </c>
      <c r="I125" s="21">
        <v>2003</v>
      </c>
      <c r="J125" s="21">
        <v>50608</v>
      </c>
      <c r="L125" s="6">
        <f t="shared" si="7"/>
        <v>104026</v>
      </c>
      <c r="M125" s="7">
        <f t="shared" si="8"/>
        <v>102023</v>
      </c>
      <c r="N125" s="8">
        <f t="shared" si="9"/>
        <v>4451.5</v>
      </c>
      <c r="O125" s="9">
        <f t="shared" si="10"/>
        <v>2225.75</v>
      </c>
      <c r="P125" s="10">
        <f t="shared" si="11"/>
        <v>46740.75</v>
      </c>
      <c r="Q125" s="11">
        <f t="shared" si="12"/>
        <v>278.21875</v>
      </c>
      <c r="S125" s="19">
        <f t="shared" si="13"/>
        <v>1483.8333333333333</v>
      </c>
    </row>
    <row r="126" spans="1:19">
      <c r="A126" s="21" t="s">
        <v>215</v>
      </c>
      <c r="B126" s="21" t="s">
        <v>14</v>
      </c>
      <c r="C126" s="21" t="s">
        <v>33</v>
      </c>
      <c r="D126" s="21" t="s">
        <v>12</v>
      </c>
      <c r="E126" s="21">
        <v>56705</v>
      </c>
      <c r="F126" s="21">
        <v>11341</v>
      </c>
      <c r="G126" s="21">
        <v>4249</v>
      </c>
      <c r="H126" s="21">
        <v>6804</v>
      </c>
      <c r="I126" s="21">
        <v>2981</v>
      </c>
      <c r="J126" s="21">
        <v>62510</v>
      </c>
      <c r="L126" s="6">
        <f t="shared" si="7"/>
        <v>130556</v>
      </c>
      <c r="M126" s="7">
        <f t="shared" si="8"/>
        <v>127575</v>
      </c>
      <c r="N126" s="8">
        <f t="shared" si="9"/>
        <v>5670.5</v>
      </c>
      <c r="O126" s="9">
        <f t="shared" si="10"/>
        <v>2835.25</v>
      </c>
      <c r="P126" s="10">
        <f t="shared" si="11"/>
        <v>59540.25</v>
      </c>
      <c r="Q126" s="11">
        <f t="shared" si="12"/>
        <v>354.40625</v>
      </c>
      <c r="S126" s="19">
        <f t="shared" si="13"/>
        <v>1890.1666666666667</v>
      </c>
    </row>
    <row r="127" spans="1:19">
      <c r="A127" s="21" t="s">
        <v>216</v>
      </c>
      <c r="B127" s="21" t="s">
        <v>217</v>
      </c>
      <c r="C127" s="21" t="s">
        <v>33</v>
      </c>
      <c r="D127" s="21" t="s">
        <v>16</v>
      </c>
      <c r="E127" s="21">
        <v>46843</v>
      </c>
      <c r="F127" s="21">
        <v>9368</v>
      </c>
      <c r="G127" s="21">
        <v>3385</v>
      </c>
      <c r="H127" s="21">
        <v>5621</v>
      </c>
      <c r="I127" s="21">
        <v>2653</v>
      </c>
      <c r="J127" s="21">
        <v>51322</v>
      </c>
      <c r="L127" s="6">
        <f t="shared" si="7"/>
        <v>107533</v>
      </c>
      <c r="M127" s="7">
        <f t="shared" si="8"/>
        <v>104880</v>
      </c>
      <c r="N127" s="8">
        <f t="shared" si="9"/>
        <v>4684.3</v>
      </c>
      <c r="O127" s="9">
        <f t="shared" si="10"/>
        <v>2342.15</v>
      </c>
      <c r="P127" s="10">
        <f t="shared" si="11"/>
        <v>49185.15</v>
      </c>
      <c r="Q127" s="11">
        <f t="shared" si="12"/>
        <v>292.76875000000001</v>
      </c>
      <c r="S127" s="19">
        <f t="shared" si="13"/>
        <v>1561.4333333333334</v>
      </c>
    </row>
    <row r="128" spans="1:19">
      <c r="A128" s="21" t="s">
        <v>218</v>
      </c>
      <c r="B128" s="21" t="s">
        <v>156</v>
      </c>
      <c r="C128" s="21" t="s">
        <v>11</v>
      </c>
      <c r="D128" s="21" t="s">
        <v>12</v>
      </c>
      <c r="E128" s="21">
        <v>18999</v>
      </c>
      <c r="F128" s="21">
        <v>3799</v>
      </c>
      <c r="G128" s="21">
        <v>3165</v>
      </c>
      <c r="H128" s="21">
        <v>2279</v>
      </c>
      <c r="I128" s="21">
        <v>1250</v>
      </c>
      <c r="J128" s="21">
        <v>22434</v>
      </c>
      <c r="L128" s="6">
        <f t="shared" si="7"/>
        <v>45232</v>
      </c>
      <c r="M128" s="7">
        <f t="shared" si="8"/>
        <v>43982</v>
      </c>
      <c r="N128" s="8">
        <f t="shared" si="9"/>
        <v>1899.9</v>
      </c>
      <c r="O128" s="9">
        <f t="shared" si="10"/>
        <v>949.95</v>
      </c>
      <c r="P128" s="10">
        <f t="shared" si="11"/>
        <v>19948.95</v>
      </c>
      <c r="Q128" s="11">
        <f t="shared" si="12"/>
        <v>118.74375000000001</v>
      </c>
      <c r="S128" s="19">
        <f t="shared" si="13"/>
        <v>633.29999999999995</v>
      </c>
    </row>
    <row r="129" spans="1:19">
      <c r="A129" s="21" t="s">
        <v>219</v>
      </c>
      <c r="B129" s="21" t="s">
        <v>220</v>
      </c>
      <c r="C129" s="21" t="s">
        <v>25</v>
      </c>
      <c r="D129" s="21" t="s">
        <v>28</v>
      </c>
      <c r="E129" s="21">
        <v>34794</v>
      </c>
      <c r="F129" s="21">
        <v>6958</v>
      </c>
      <c r="G129" s="21">
        <v>1385</v>
      </c>
      <c r="H129" s="21">
        <v>4175</v>
      </c>
      <c r="I129" s="21">
        <v>1147</v>
      </c>
      <c r="J129" s="21">
        <v>37815</v>
      </c>
      <c r="L129" s="6">
        <f t="shared" si="7"/>
        <v>79567</v>
      </c>
      <c r="M129" s="7">
        <f t="shared" si="8"/>
        <v>78420</v>
      </c>
      <c r="N129" s="8">
        <f t="shared" si="9"/>
        <v>3479.4</v>
      </c>
      <c r="O129" s="9">
        <f t="shared" si="10"/>
        <v>1739.7</v>
      </c>
      <c r="P129" s="10">
        <f t="shared" si="11"/>
        <v>36533.700000000004</v>
      </c>
      <c r="Q129" s="11">
        <f t="shared" si="12"/>
        <v>217.46250000000001</v>
      </c>
      <c r="S129" s="19">
        <f t="shared" si="13"/>
        <v>1159.8</v>
      </c>
    </row>
    <row r="130" spans="1:19">
      <c r="A130" s="21" t="s">
        <v>221</v>
      </c>
      <c r="B130" s="21" t="s">
        <v>222</v>
      </c>
      <c r="C130" s="21" t="s">
        <v>15</v>
      </c>
      <c r="D130" s="21" t="s">
        <v>16</v>
      </c>
      <c r="E130" s="21">
        <v>41227</v>
      </c>
      <c r="F130" s="21">
        <v>8245</v>
      </c>
      <c r="G130" s="21">
        <v>4368</v>
      </c>
      <c r="H130" s="21">
        <v>4947</v>
      </c>
      <c r="I130" s="21">
        <v>917</v>
      </c>
      <c r="J130" s="21">
        <v>47976</v>
      </c>
      <c r="L130" s="6">
        <f t="shared" si="7"/>
        <v>97448</v>
      </c>
      <c r="M130" s="7">
        <f t="shared" si="8"/>
        <v>96531</v>
      </c>
      <c r="N130" s="8">
        <f t="shared" si="9"/>
        <v>4122.7</v>
      </c>
      <c r="O130" s="9">
        <f t="shared" si="10"/>
        <v>2061.35</v>
      </c>
      <c r="P130" s="10">
        <f t="shared" si="11"/>
        <v>43288.35</v>
      </c>
      <c r="Q130" s="11">
        <f t="shared" si="12"/>
        <v>257.66874999999999</v>
      </c>
      <c r="S130" s="19">
        <f t="shared" si="13"/>
        <v>1374.2333333333333</v>
      </c>
    </row>
    <row r="131" spans="1:19">
      <c r="A131" s="21" t="s">
        <v>223</v>
      </c>
      <c r="B131" s="21" t="s">
        <v>206</v>
      </c>
      <c r="C131" s="21" t="s">
        <v>25</v>
      </c>
      <c r="D131" s="21" t="s">
        <v>12</v>
      </c>
      <c r="E131" s="21">
        <v>16306</v>
      </c>
      <c r="F131" s="21">
        <v>3261</v>
      </c>
      <c r="G131" s="21">
        <v>2178</v>
      </c>
      <c r="H131" s="21">
        <v>1956</v>
      </c>
      <c r="I131" s="21">
        <v>1732</v>
      </c>
      <c r="J131" s="21">
        <v>18057</v>
      </c>
      <c r="L131" s="6">
        <f t="shared" ref="L131:L194" si="14">E131+F131+J131</f>
        <v>37624</v>
      </c>
      <c r="M131" s="7">
        <f t="shared" ref="M131:M194" si="15">L131-I131</f>
        <v>35892</v>
      </c>
      <c r="N131" s="8">
        <f t="shared" ref="N131:N194" si="16">E131*10%</f>
        <v>1630.6000000000001</v>
      </c>
      <c r="O131" s="9">
        <f t="shared" ref="O131:O194" si="17">E131*5%</f>
        <v>815.30000000000007</v>
      </c>
      <c r="P131" s="10">
        <f t="shared" ref="P131:P194" si="18">E131*1.05</f>
        <v>17121.3</v>
      </c>
      <c r="Q131" s="11">
        <f t="shared" ref="Q131:Q194" si="19">E131/(40*4)</f>
        <v>101.91249999999999</v>
      </c>
      <c r="S131" s="19">
        <f t="shared" ref="S131:S194" si="20">E131/30</f>
        <v>543.5333333333333</v>
      </c>
    </row>
    <row r="132" spans="1:19">
      <c r="A132" s="21" t="s">
        <v>224</v>
      </c>
      <c r="B132" s="21" t="s">
        <v>171</v>
      </c>
      <c r="C132" s="21" t="s">
        <v>15</v>
      </c>
      <c r="D132" s="21" t="s">
        <v>36</v>
      </c>
      <c r="E132" s="21">
        <v>33930</v>
      </c>
      <c r="F132" s="21">
        <v>6786</v>
      </c>
      <c r="G132" s="21">
        <v>3247</v>
      </c>
      <c r="H132" s="21">
        <v>4071</v>
      </c>
      <c r="I132" s="21">
        <v>1528</v>
      </c>
      <c r="J132" s="21">
        <v>38364</v>
      </c>
      <c r="L132" s="6">
        <f t="shared" si="14"/>
        <v>79080</v>
      </c>
      <c r="M132" s="7">
        <f t="shared" si="15"/>
        <v>77552</v>
      </c>
      <c r="N132" s="8">
        <f t="shared" si="16"/>
        <v>3393</v>
      </c>
      <c r="O132" s="9">
        <f t="shared" si="17"/>
        <v>1696.5</v>
      </c>
      <c r="P132" s="10">
        <f t="shared" si="18"/>
        <v>35626.5</v>
      </c>
      <c r="Q132" s="11">
        <f t="shared" si="19"/>
        <v>212.0625</v>
      </c>
      <c r="S132" s="19">
        <f t="shared" si="20"/>
        <v>1131</v>
      </c>
    </row>
    <row r="133" spans="1:19">
      <c r="A133" s="21" t="s">
        <v>225</v>
      </c>
      <c r="B133" s="21" t="s">
        <v>87</v>
      </c>
      <c r="C133" s="21" t="s">
        <v>49</v>
      </c>
      <c r="D133" s="21" t="s">
        <v>28</v>
      </c>
      <c r="E133" s="21">
        <v>19448</v>
      </c>
      <c r="F133" s="21">
        <v>3889</v>
      </c>
      <c r="G133" s="21">
        <v>4435</v>
      </c>
      <c r="H133" s="21">
        <v>2333</v>
      </c>
      <c r="I133" s="21">
        <v>589</v>
      </c>
      <c r="J133" s="21">
        <v>24850</v>
      </c>
      <c r="L133" s="6">
        <f t="shared" si="14"/>
        <v>48187</v>
      </c>
      <c r="M133" s="7">
        <f t="shared" si="15"/>
        <v>47598</v>
      </c>
      <c r="N133" s="8">
        <f t="shared" si="16"/>
        <v>1944.8000000000002</v>
      </c>
      <c r="O133" s="9">
        <f t="shared" si="17"/>
        <v>972.40000000000009</v>
      </c>
      <c r="P133" s="10">
        <f t="shared" si="18"/>
        <v>20420.400000000001</v>
      </c>
      <c r="Q133" s="11">
        <f t="shared" si="19"/>
        <v>121.55</v>
      </c>
      <c r="S133" s="19">
        <f t="shared" si="20"/>
        <v>648.26666666666665</v>
      </c>
    </row>
    <row r="134" spans="1:19">
      <c r="A134" s="21" t="s">
        <v>226</v>
      </c>
      <c r="B134" s="21" t="s">
        <v>73</v>
      </c>
      <c r="C134" s="21" t="s">
        <v>49</v>
      </c>
      <c r="D134" s="21" t="s">
        <v>22</v>
      </c>
      <c r="E134" s="21">
        <v>29985</v>
      </c>
      <c r="F134" s="21">
        <v>5997</v>
      </c>
      <c r="G134" s="21">
        <v>2891</v>
      </c>
      <c r="H134" s="21">
        <v>3598</v>
      </c>
      <c r="I134" s="21">
        <v>1084</v>
      </c>
      <c r="J134" s="21">
        <v>34191</v>
      </c>
      <c r="L134" s="6">
        <f t="shared" si="14"/>
        <v>70173</v>
      </c>
      <c r="M134" s="7">
        <f t="shared" si="15"/>
        <v>69089</v>
      </c>
      <c r="N134" s="8">
        <f t="shared" si="16"/>
        <v>2998.5</v>
      </c>
      <c r="O134" s="9">
        <f t="shared" si="17"/>
        <v>1499.25</v>
      </c>
      <c r="P134" s="10">
        <f t="shared" si="18"/>
        <v>31484.25</v>
      </c>
      <c r="Q134" s="11">
        <f t="shared" si="19"/>
        <v>187.40625</v>
      </c>
      <c r="S134" s="19">
        <f t="shared" si="20"/>
        <v>999.5</v>
      </c>
    </row>
    <row r="135" spans="1:19">
      <c r="A135" s="21" t="s">
        <v>227</v>
      </c>
      <c r="B135" s="21" t="s">
        <v>62</v>
      </c>
      <c r="C135" s="21" t="s">
        <v>21</v>
      </c>
      <c r="D135" s="21" t="s">
        <v>36</v>
      </c>
      <c r="E135" s="21">
        <v>54718</v>
      </c>
      <c r="F135" s="21">
        <v>10943</v>
      </c>
      <c r="G135" s="21">
        <v>3992</v>
      </c>
      <c r="H135" s="21">
        <v>6566</v>
      </c>
      <c r="I135" s="21">
        <v>2074</v>
      </c>
      <c r="J135" s="21">
        <v>61013</v>
      </c>
      <c r="L135" s="6">
        <f t="shared" si="14"/>
        <v>126674</v>
      </c>
      <c r="M135" s="7">
        <f t="shared" si="15"/>
        <v>124600</v>
      </c>
      <c r="N135" s="8">
        <f t="shared" si="16"/>
        <v>5471.8</v>
      </c>
      <c r="O135" s="9">
        <f t="shared" si="17"/>
        <v>2735.9</v>
      </c>
      <c r="P135" s="10">
        <f t="shared" si="18"/>
        <v>57453.9</v>
      </c>
      <c r="Q135" s="11">
        <f t="shared" si="19"/>
        <v>341.98750000000001</v>
      </c>
      <c r="S135" s="19">
        <f t="shared" si="20"/>
        <v>1823.9333333333334</v>
      </c>
    </row>
    <row r="136" spans="1:19">
      <c r="A136" s="21" t="s">
        <v>228</v>
      </c>
      <c r="B136" s="21" t="s">
        <v>156</v>
      </c>
      <c r="C136" s="21" t="s">
        <v>21</v>
      </c>
      <c r="D136" s="21" t="s">
        <v>36</v>
      </c>
      <c r="E136" s="21">
        <v>49315</v>
      </c>
      <c r="F136" s="21">
        <v>9863</v>
      </c>
      <c r="G136" s="21">
        <v>4090</v>
      </c>
      <c r="H136" s="21">
        <v>5917</v>
      </c>
      <c r="I136" s="21">
        <v>1378</v>
      </c>
      <c r="J136" s="21">
        <v>55973</v>
      </c>
      <c r="L136" s="6">
        <f t="shared" si="14"/>
        <v>115151</v>
      </c>
      <c r="M136" s="7">
        <f t="shared" si="15"/>
        <v>113773</v>
      </c>
      <c r="N136" s="8">
        <f t="shared" si="16"/>
        <v>4931.5</v>
      </c>
      <c r="O136" s="9">
        <f t="shared" si="17"/>
        <v>2465.75</v>
      </c>
      <c r="P136" s="10">
        <f t="shared" si="18"/>
        <v>51780.75</v>
      </c>
      <c r="Q136" s="11">
        <f t="shared" si="19"/>
        <v>308.21875</v>
      </c>
      <c r="S136" s="19">
        <f t="shared" si="20"/>
        <v>1643.8333333333333</v>
      </c>
    </row>
    <row r="137" spans="1:19">
      <c r="A137" s="21" t="s">
        <v>229</v>
      </c>
      <c r="B137" s="21" t="s">
        <v>97</v>
      </c>
      <c r="C137" s="21" t="s">
        <v>49</v>
      </c>
      <c r="D137" s="21" t="s">
        <v>28</v>
      </c>
      <c r="E137" s="21">
        <v>34443</v>
      </c>
      <c r="F137" s="21">
        <v>6888</v>
      </c>
      <c r="G137" s="21">
        <v>1580</v>
      </c>
      <c r="H137" s="21">
        <v>4133</v>
      </c>
      <c r="I137" s="21">
        <v>2147</v>
      </c>
      <c r="J137" s="21">
        <v>36631</v>
      </c>
      <c r="L137" s="6">
        <f t="shared" si="14"/>
        <v>77962</v>
      </c>
      <c r="M137" s="7">
        <f t="shared" si="15"/>
        <v>75815</v>
      </c>
      <c r="N137" s="8">
        <f t="shared" si="16"/>
        <v>3444.3</v>
      </c>
      <c r="O137" s="9">
        <f t="shared" si="17"/>
        <v>1722.15</v>
      </c>
      <c r="P137" s="10">
        <f t="shared" si="18"/>
        <v>36165.15</v>
      </c>
      <c r="Q137" s="11">
        <f t="shared" si="19"/>
        <v>215.26875000000001</v>
      </c>
      <c r="S137" s="19">
        <f t="shared" si="20"/>
        <v>1148.0999999999999</v>
      </c>
    </row>
    <row r="138" spans="1:19">
      <c r="A138" s="21" t="s">
        <v>230</v>
      </c>
      <c r="B138" s="21" t="s">
        <v>231</v>
      </c>
      <c r="C138" s="21" t="s">
        <v>15</v>
      </c>
      <c r="D138" s="21" t="s">
        <v>22</v>
      </c>
      <c r="E138" s="21">
        <v>15724</v>
      </c>
      <c r="F138" s="21">
        <v>3144</v>
      </c>
      <c r="G138" s="21">
        <v>4795</v>
      </c>
      <c r="H138" s="21">
        <v>1886</v>
      </c>
      <c r="I138" s="21">
        <v>2813</v>
      </c>
      <c r="J138" s="21">
        <v>18964</v>
      </c>
      <c r="L138" s="6">
        <f t="shared" si="14"/>
        <v>37832</v>
      </c>
      <c r="M138" s="7">
        <f t="shared" si="15"/>
        <v>35019</v>
      </c>
      <c r="N138" s="8">
        <f t="shared" si="16"/>
        <v>1572.4</v>
      </c>
      <c r="O138" s="9">
        <f t="shared" si="17"/>
        <v>786.2</v>
      </c>
      <c r="P138" s="10">
        <f t="shared" si="18"/>
        <v>16510.2</v>
      </c>
      <c r="Q138" s="11">
        <f t="shared" si="19"/>
        <v>98.275000000000006</v>
      </c>
      <c r="S138" s="19">
        <f t="shared" si="20"/>
        <v>524.13333333333333</v>
      </c>
    </row>
    <row r="139" spans="1:19">
      <c r="A139" s="21" t="s">
        <v>232</v>
      </c>
      <c r="B139" s="21" t="s">
        <v>233</v>
      </c>
      <c r="C139" s="21" t="s">
        <v>21</v>
      </c>
      <c r="D139" s="21" t="s">
        <v>36</v>
      </c>
      <c r="E139" s="21">
        <v>51541</v>
      </c>
      <c r="F139" s="21">
        <v>10308</v>
      </c>
      <c r="G139" s="21">
        <v>2523</v>
      </c>
      <c r="H139" s="21">
        <v>6184</v>
      </c>
      <c r="I139" s="21">
        <v>1836</v>
      </c>
      <c r="J139" s="21">
        <v>56352</v>
      </c>
      <c r="L139" s="6">
        <f t="shared" si="14"/>
        <v>118201</v>
      </c>
      <c r="M139" s="7">
        <f t="shared" si="15"/>
        <v>116365</v>
      </c>
      <c r="N139" s="8">
        <f t="shared" si="16"/>
        <v>5154.1000000000004</v>
      </c>
      <c r="O139" s="9">
        <f t="shared" si="17"/>
        <v>2577.0500000000002</v>
      </c>
      <c r="P139" s="10">
        <f t="shared" si="18"/>
        <v>54118.05</v>
      </c>
      <c r="Q139" s="11">
        <f t="shared" si="19"/>
        <v>322.13125000000002</v>
      </c>
      <c r="S139" s="19">
        <f t="shared" si="20"/>
        <v>1718.0333333333333</v>
      </c>
    </row>
    <row r="140" spans="1:19">
      <c r="A140" s="21" t="s">
        <v>234</v>
      </c>
      <c r="B140" s="21" t="s">
        <v>100</v>
      </c>
      <c r="C140" s="21" t="s">
        <v>33</v>
      </c>
      <c r="D140" s="21" t="s">
        <v>36</v>
      </c>
      <c r="E140" s="21">
        <v>50182</v>
      </c>
      <c r="F140" s="21">
        <v>10036</v>
      </c>
      <c r="G140" s="21">
        <v>1905</v>
      </c>
      <c r="H140" s="21">
        <v>6021</v>
      </c>
      <c r="I140" s="21">
        <v>2091</v>
      </c>
      <c r="J140" s="21">
        <v>54011</v>
      </c>
      <c r="L140" s="6">
        <f t="shared" si="14"/>
        <v>114229</v>
      </c>
      <c r="M140" s="7">
        <f t="shared" si="15"/>
        <v>112138</v>
      </c>
      <c r="N140" s="8">
        <f t="shared" si="16"/>
        <v>5018.2000000000007</v>
      </c>
      <c r="O140" s="9">
        <f t="shared" si="17"/>
        <v>2509.1000000000004</v>
      </c>
      <c r="P140" s="10">
        <f t="shared" si="18"/>
        <v>52691.100000000006</v>
      </c>
      <c r="Q140" s="11">
        <f t="shared" si="19"/>
        <v>313.63749999999999</v>
      </c>
      <c r="S140" s="19">
        <f t="shared" si="20"/>
        <v>1672.7333333333333</v>
      </c>
    </row>
    <row r="141" spans="1:19">
      <c r="A141" s="21" t="s">
        <v>235</v>
      </c>
      <c r="B141" s="21" t="s">
        <v>236</v>
      </c>
      <c r="C141" s="21" t="s">
        <v>33</v>
      </c>
      <c r="D141" s="21" t="s">
        <v>16</v>
      </c>
      <c r="E141" s="21">
        <v>15366</v>
      </c>
      <c r="F141" s="21">
        <v>3073</v>
      </c>
      <c r="G141" s="21">
        <v>3471</v>
      </c>
      <c r="H141" s="21">
        <v>1843</v>
      </c>
      <c r="I141" s="21">
        <v>1159</v>
      </c>
      <c r="J141" s="21">
        <v>18908</v>
      </c>
      <c r="L141" s="6">
        <f t="shared" si="14"/>
        <v>37347</v>
      </c>
      <c r="M141" s="7">
        <f t="shared" si="15"/>
        <v>36188</v>
      </c>
      <c r="N141" s="8">
        <f t="shared" si="16"/>
        <v>1536.6000000000001</v>
      </c>
      <c r="O141" s="9">
        <f t="shared" si="17"/>
        <v>768.30000000000007</v>
      </c>
      <c r="P141" s="10">
        <f t="shared" si="18"/>
        <v>16134.300000000001</v>
      </c>
      <c r="Q141" s="11">
        <f t="shared" si="19"/>
        <v>96.037499999999994</v>
      </c>
      <c r="S141" s="19">
        <f t="shared" si="20"/>
        <v>512.20000000000005</v>
      </c>
    </row>
    <row r="142" spans="1:19">
      <c r="A142" s="21" t="s">
        <v>237</v>
      </c>
      <c r="B142" s="21" t="s">
        <v>171</v>
      </c>
      <c r="C142" s="21" t="s">
        <v>33</v>
      </c>
      <c r="D142" s="21" t="s">
        <v>36</v>
      </c>
      <c r="E142" s="21">
        <v>19489</v>
      </c>
      <c r="F142" s="21">
        <v>3897</v>
      </c>
      <c r="G142" s="21">
        <v>1087</v>
      </c>
      <c r="H142" s="21">
        <v>2338</v>
      </c>
      <c r="I142" s="21">
        <v>2608</v>
      </c>
      <c r="J142" s="21">
        <v>19527</v>
      </c>
      <c r="L142" s="6">
        <f t="shared" si="14"/>
        <v>42913</v>
      </c>
      <c r="M142" s="7">
        <f t="shared" si="15"/>
        <v>40305</v>
      </c>
      <c r="N142" s="8">
        <f t="shared" si="16"/>
        <v>1948.9</v>
      </c>
      <c r="O142" s="9">
        <f t="shared" si="17"/>
        <v>974.45</v>
      </c>
      <c r="P142" s="10">
        <f t="shared" si="18"/>
        <v>20463.45</v>
      </c>
      <c r="Q142" s="11">
        <f t="shared" si="19"/>
        <v>121.80625000000001</v>
      </c>
      <c r="S142" s="19">
        <f t="shared" si="20"/>
        <v>649.63333333333333</v>
      </c>
    </row>
    <row r="143" spans="1:19">
      <c r="A143" s="21" t="s">
        <v>238</v>
      </c>
      <c r="B143" s="21" t="s">
        <v>107</v>
      </c>
      <c r="C143" s="21" t="s">
        <v>49</v>
      </c>
      <c r="D143" s="21" t="s">
        <v>28</v>
      </c>
      <c r="E143" s="21">
        <v>51646</v>
      </c>
      <c r="F143" s="21">
        <v>10329</v>
      </c>
      <c r="G143" s="21">
        <v>1840</v>
      </c>
      <c r="H143" s="21">
        <v>6197</v>
      </c>
      <c r="I143" s="21">
        <v>579</v>
      </c>
      <c r="J143" s="21">
        <v>57039</v>
      </c>
      <c r="L143" s="6">
        <f t="shared" si="14"/>
        <v>119014</v>
      </c>
      <c r="M143" s="7">
        <f t="shared" si="15"/>
        <v>118435</v>
      </c>
      <c r="N143" s="8">
        <f t="shared" si="16"/>
        <v>5164.6000000000004</v>
      </c>
      <c r="O143" s="9">
        <f t="shared" si="17"/>
        <v>2582.3000000000002</v>
      </c>
      <c r="P143" s="10">
        <f t="shared" si="18"/>
        <v>54228.3</v>
      </c>
      <c r="Q143" s="11">
        <f t="shared" si="19"/>
        <v>322.78750000000002</v>
      </c>
      <c r="S143" s="19">
        <f t="shared" si="20"/>
        <v>1721.5333333333333</v>
      </c>
    </row>
    <row r="144" spans="1:19">
      <c r="A144" s="21" t="s">
        <v>239</v>
      </c>
      <c r="B144" s="21" t="s">
        <v>164</v>
      </c>
      <c r="C144" s="21" t="s">
        <v>21</v>
      </c>
      <c r="D144" s="21" t="s">
        <v>28</v>
      </c>
      <c r="E144" s="21">
        <v>54354</v>
      </c>
      <c r="F144" s="21">
        <v>10870</v>
      </c>
      <c r="G144" s="21">
        <v>2997</v>
      </c>
      <c r="H144" s="21">
        <v>6522</v>
      </c>
      <c r="I144" s="21">
        <v>1083</v>
      </c>
      <c r="J144" s="21">
        <v>60616</v>
      </c>
      <c r="L144" s="6">
        <f t="shared" si="14"/>
        <v>125840</v>
      </c>
      <c r="M144" s="7">
        <f t="shared" si="15"/>
        <v>124757</v>
      </c>
      <c r="N144" s="8">
        <f t="shared" si="16"/>
        <v>5435.4000000000005</v>
      </c>
      <c r="O144" s="9">
        <f t="shared" si="17"/>
        <v>2717.7000000000003</v>
      </c>
      <c r="P144" s="10">
        <f t="shared" si="18"/>
        <v>57071.700000000004</v>
      </c>
      <c r="Q144" s="11">
        <f t="shared" si="19"/>
        <v>339.71249999999998</v>
      </c>
      <c r="S144" s="19">
        <f t="shared" si="20"/>
        <v>1811.8</v>
      </c>
    </row>
    <row r="145" spans="1:19">
      <c r="A145" s="21" t="s">
        <v>240</v>
      </c>
      <c r="B145" s="21" t="s">
        <v>67</v>
      </c>
      <c r="C145" s="21" t="s">
        <v>33</v>
      </c>
      <c r="D145" s="21" t="s">
        <v>12</v>
      </c>
      <c r="E145" s="21">
        <v>26351</v>
      </c>
      <c r="F145" s="21">
        <v>5270</v>
      </c>
      <c r="G145" s="21">
        <v>3438</v>
      </c>
      <c r="H145" s="21">
        <v>3162</v>
      </c>
      <c r="I145" s="21">
        <v>1878</v>
      </c>
      <c r="J145" s="21">
        <v>30019</v>
      </c>
      <c r="L145" s="6">
        <f t="shared" si="14"/>
        <v>61640</v>
      </c>
      <c r="M145" s="7">
        <f t="shared" si="15"/>
        <v>59762</v>
      </c>
      <c r="N145" s="8">
        <f t="shared" si="16"/>
        <v>2635.1000000000004</v>
      </c>
      <c r="O145" s="9">
        <f t="shared" si="17"/>
        <v>1317.5500000000002</v>
      </c>
      <c r="P145" s="10">
        <f t="shared" si="18"/>
        <v>27668.550000000003</v>
      </c>
      <c r="Q145" s="11">
        <f t="shared" si="19"/>
        <v>164.69374999999999</v>
      </c>
      <c r="S145" s="19">
        <f t="shared" si="20"/>
        <v>878.36666666666667</v>
      </c>
    </row>
    <row r="146" spans="1:19">
      <c r="A146" s="21" t="s">
        <v>241</v>
      </c>
      <c r="B146" s="21" t="s">
        <v>236</v>
      </c>
      <c r="C146" s="21" t="s">
        <v>25</v>
      </c>
      <c r="D146" s="21" t="s">
        <v>22</v>
      </c>
      <c r="E146" s="21">
        <v>43339</v>
      </c>
      <c r="F146" s="21">
        <v>8667</v>
      </c>
      <c r="G146" s="21">
        <v>4867</v>
      </c>
      <c r="H146" s="21">
        <v>5200</v>
      </c>
      <c r="I146" s="21">
        <v>777</v>
      </c>
      <c r="J146" s="21">
        <v>50896</v>
      </c>
      <c r="L146" s="6">
        <f t="shared" si="14"/>
        <v>102902</v>
      </c>
      <c r="M146" s="7">
        <f t="shared" si="15"/>
        <v>102125</v>
      </c>
      <c r="N146" s="8">
        <f t="shared" si="16"/>
        <v>4333.9000000000005</v>
      </c>
      <c r="O146" s="9">
        <f t="shared" si="17"/>
        <v>2166.9500000000003</v>
      </c>
      <c r="P146" s="10">
        <f t="shared" si="18"/>
        <v>45505.950000000004</v>
      </c>
      <c r="Q146" s="11">
        <f t="shared" si="19"/>
        <v>270.86874999999998</v>
      </c>
      <c r="S146" s="19">
        <f t="shared" si="20"/>
        <v>1444.6333333333334</v>
      </c>
    </row>
    <row r="147" spans="1:19">
      <c r="A147" s="21" t="s">
        <v>242</v>
      </c>
      <c r="B147" s="21" t="s">
        <v>177</v>
      </c>
      <c r="C147" s="21" t="s">
        <v>25</v>
      </c>
      <c r="D147" s="21" t="s">
        <v>28</v>
      </c>
      <c r="E147" s="21">
        <v>29971</v>
      </c>
      <c r="F147" s="21">
        <v>5994</v>
      </c>
      <c r="G147" s="21">
        <v>3256</v>
      </c>
      <c r="H147" s="21">
        <v>3596</v>
      </c>
      <c r="I147" s="21">
        <v>1257</v>
      </c>
      <c r="J147" s="21">
        <v>34368</v>
      </c>
      <c r="L147" s="6">
        <f t="shared" si="14"/>
        <v>70333</v>
      </c>
      <c r="M147" s="7">
        <f t="shared" si="15"/>
        <v>69076</v>
      </c>
      <c r="N147" s="8">
        <f t="shared" si="16"/>
        <v>2997.1000000000004</v>
      </c>
      <c r="O147" s="9">
        <f t="shared" si="17"/>
        <v>1498.5500000000002</v>
      </c>
      <c r="P147" s="10">
        <f t="shared" si="18"/>
        <v>31469.550000000003</v>
      </c>
      <c r="Q147" s="11">
        <f t="shared" si="19"/>
        <v>187.31874999999999</v>
      </c>
      <c r="S147" s="19">
        <f t="shared" si="20"/>
        <v>999.0333333333333</v>
      </c>
    </row>
    <row r="148" spans="1:19">
      <c r="A148" s="21" t="s">
        <v>243</v>
      </c>
      <c r="B148" s="21" t="s">
        <v>171</v>
      </c>
      <c r="C148" s="21" t="s">
        <v>15</v>
      </c>
      <c r="D148" s="21" t="s">
        <v>16</v>
      </c>
      <c r="E148" s="21">
        <v>39817</v>
      </c>
      <c r="F148" s="21">
        <v>7963</v>
      </c>
      <c r="G148" s="21">
        <v>3972</v>
      </c>
      <c r="H148" s="21">
        <v>4778</v>
      </c>
      <c r="I148" s="21">
        <v>1708</v>
      </c>
      <c r="J148" s="21">
        <v>45266</v>
      </c>
      <c r="L148" s="6">
        <f t="shared" si="14"/>
        <v>93046</v>
      </c>
      <c r="M148" s="7">
        <f t="shared" si="15"/>
        <v>91338</v>
      </c>
      <c r="N148" s="8">
        <f t="shared" si="16"/>
        <v>3981.7000000000003</v>
      </c>
      <c r="O148" s="9">
        <f t="shared" si="17"/>
        <v>1990.8500000000001</v>
      </c>
      <c r="P148" s="10">
        <f t="shared" si="18"/>
        <v>41807.85</v>
      </c>
      <c r="Q148" s="11">
        <f t="shared" si="19"/>
        <v>248.85624999999999</v>
      </c>
      <c r="S148" s="19">
        <f t="shared" si="20"/>
        <v>1327.2333333333333</v>
      </c>
    </row>
    <row r="149" spans="1:19">
      <c r="A149" s="21" t="s">
        <v>244</v>
      </c>
      <c r="B149" s="21" t="s">
        <v>174</v>
      </c>
      <c r="C149" s="21" t="s">
        <v>11</v>
      </c>
      <c r="D149" s="21" t="s">
        <v>22</v>
      </c>
      <c r="E149" s="21">
        <v>19806</v>
      </c>
      <c r="F149" s="21">
        <v>3961</v>
      </c>
      <c r="G149" s="21">
        <v>3601</v>
      </c>
      <c r="H149" s="21">
        <v>2376</v>
      </c>
      <c r="I149" s="21">
        <v>2818</v>
      </c>
      <c r="J149" s="21">
        <v>22174</v>
      </c>
      <c r="L149" s="6">
        <f t="shared" si="14"/>
        <v>45941</v>
      </c>
      <c r="M149" s="7">
        <f t="shared" si="15"/>
        <v>43123</v>
      </c>
      <c r="N149" s="8">
        <f t="shared" si="16"/>
        <v>1980.6000000000001</v>
      </c>
      <c r="O149" s="9">
        <f t="shared" si="17"/>
        <v>990.30000000000007</v>
      </c>
      <c r="P149" s="10">
        <f t="shared" si="18"/>
        <v>20796.3</v>
      </c>
      <c r="Q149" s="11">
        <f t="shared" si="19"/>
        <v>123.78749999999999</v>
      </c>
      <c r="S149" s="19">
        <f t="shared" si="20"/>
        <v>660.2</v>
      </c>
    </row>
    <row r="150" spans="1:19">
      <c r="A150" s="21" t="s">
        <v>245</v>
      </c>
      <c r="B150" s="21" t="s">
        <v>109</v>
      </c>
      <c r="C150" s="21" t="s">
        <v>21</v>
      </c>
      <c r="D150" s="21" t="s">
        <v>16</v>
      </c>
      <c r="E150" s="21">
        <v>21484</v>
      </c>
      <c r="F150" s="21">
        <v>4296</v>
      </c>
      <c r="G150" s="21">
        <v>3006</v>
      </c>
      <c r="H150" s="21">
        <v>2578</v>
      </c>
      <c r="I150" s="21">
        <v>2889</v>
      </c>
      <c r="J150" s="21">
        <v>23319</v>
      </c>
      <c r="L150" s="6">
        <f t="shared" si="14"/>
        <v>49099</v>
      </c>
      <c r="M150" s="7">
        <f t="shared" si="15"/>
        <v>46210</v>
      </c>
      <c r="N150" s="8">
        <f t="shared" si="16"/>
        <v>2148.4</v>
      </c>
      <c r="O150" s="9">
        <f t="shared" si="17"/>
        <v>1074.2</v>
      </c>
      <c r="P150" s="10">
        <f t="shared" si="18"/>
        <v>22558.2</v>
      </c>
      <c r="Q150" s="11">
        <f t="shared" si="19"/>
        <v>134.27500000000001</v>
      </c>
      <c r="S150" s="19">
        <f t="shared" si="20"/>
        <v>716.13333333333333</v>
      </c>
    </row>
    <row r="151" spans="1:19">
      <c r="A151" s="21" t="s">
        <v>246</v>
      </c>
      <c r="B151" s="21" t="s">
        <v>152</v>
      </c>
      <c r="C151" s="21" t="s">
        <v>21</v>
      </c>
      <c r="D151" s="21" t="s">
        <v>16</v>
      </c>
      <c r="E151" s="21">
        <v>45604</v>
      </c>
      <c r="F151" s="21">
        <v>9120</v>
      </c>
      <c r="G151" s="21">
        <v>2993</v>
      </c>
      <c r="H151" s="21">
        <v>5472</v>
      </c>
      <c r="I151" s="21">
        <v>2564</v>
      </c>
      <c r="J151" s="21">
        <v>49681</v>
      </c>
      <c r="L151" s="6">
        <f t="shared" si="14"/>
        <v>104405</v>
      </c>
      <c r="M151" s="7">
        <f t="shared" si="15"/>
        <v>101841</v>
      </c>
      <c r="N151" s="8">
        <f t="shared" si="16"/>
        <v>4560.4000000000005</v>
      </c>
      <c r="O151" s="9">
        <f t="shared" si="17"/>
        <v>2280.2000000000003</v>
      </c>
      <c r="P151" s="10">
        <f t="shared" si="18"/>
        <v>47884.200000000004</v>
      </c>
      <c r="Q151" s="11">
        <f t="shared" si="19"/>
        <v>285.02499999999998</v>
      </c>
      <c r="S151" s="19">
        <f t="shared" si="20"/>
        <v>1520.1333333333334</v>
      </c>
    </row>
    <row r="152" spans="1:19">
      <c r="A152" s="21" t="s">
        <v>247</v>
      </c>
      <c r="B152" s="21" t="s">
        <v>104</v>
      </c>
      <c r="C152" s="21" t="s">
        <v>11</v>
      </c>
      <c r="D152" s="21" t="s">
        <v>22</v>
      </c>
      <c r="E152" s="21">
        <v>58437</v>
      </c>
      <c r="F152" s="21">
        <v>11687</v>
      </c>
      <c r="G152" s="21">
        <v>4184</v>
      </c>
      <c r="H152" s="21">
        <v>7012</v>
      </c>
      <c r="I152" s="21">
        <v>1655</v>
      </c>
      <c r="J152" s="21">
        <v>65641</v>
      </c>
      <c r="L152" s="6">
        <f t="shared" si="14"/>
        <v>135765</v>
      </c>
      <c r="M152" s="7">
        <f t="shared" si="15"/>
        <v>134110</v>
      </c>
      <c r="N152" s="8">
        <f t="shared" si="16"/>
        <v>5843.7000000000007</v>
      </c>
      <c r="O152" s="9">
        <f t="shared" si="17"/>
        <v>2921.8500000000004</v>
      </c>
      <c r="P152" s="10">
        <f t="shared" si="18"/>
        <v>61358.850000000006</v>
      </c>
      <c r="Q152" s="11">
        <f t="shared" si="19"/>
        <v>365.23124999999999</v>
      </c>
      <c r="S152" s="19">
        <f t="shared" si="20"/>
        <v>1947.9</v>
      </c>
    </row>
    <row r="153" spans="1:19">
      <c r="A153" s="21" t="s">
        <v>248</v>
      </c>
      <c r="B153" s="21" t="s">
        <v>79</v>
      </c>
      <c r="C153" s="21" t="s">
        <v>11</v>
      </c>
      <c r="D153" s="21" t="s">
        <v>12</v>
      </c>
      <c r="E153" s="21">
        <v>58014</v>
      </c>
      <c r="F153" s="21">
        <v>11602</v>
      </c>
      <c r="G153" s="21">
        <v>2075</v>
      </c>
      <c r="H153" s="21">
        <v>6961</v>
      </c>
      <c r="I153" s="21">
        <v>2240</v>
      </c>
      <c r="J153" s="21">
        <v>62490</v>
      </c>
      <c r="L153" s="6">
        <f t="shared" si="14"/>
        <v>132106</v>
      </c>
      <c r="M153" s="7">
        <f t="shared" si="15"/>
        <v>129866</v>
      </c>
      <c r="N153" s="8">
        <f t="shared" si="16"/>
        <v>5801.4000000000005</v>
      </c>
      <c r="O153" s="9">
        <f t="shared" si="17"/>
        <v>2900.7000000000003</v>
      </c>
      <c r="P153" s="10">
        <f t="shared" si="18"/>
        <v>60914.700000000004</v>
      </c>
      <c r="Q153" s="11">
        <f t="shared" si="19"/>
        <v>362.58749999999998</v>
      </c>
      <c r="S153" s="19">
        <f t="shared" si="20"/>
        <v>1933.8</v>
      </c>
    </row>
    <row r="154" spans="1:19">
      <c r="A154" s="21" t="s">
        <v>249</v>
      </c>
      <c r="B154" s="21" t="s">
        <v>143</v>
      </c>
      <c r="C154" s="21" t="s">
        <v>25</v>
      </c>
      <c r="D154" s="21" t="s">
        <v>12</v>
      </c>
      <c r="E154" s="21">
        <v>26143</v>
      </c>
      <c r="F154" s="21">
        <v>5228</v>
      </c>
      <c r="G154" s="21">
        <v>4237</v>
      </c>
      <c r="H154" s="21">
        <v>3137</v>
      </c>
      <c r="I154" s="21">
        <v>2907</v>
      </c>
      <c r="J154" s="21">
        <v>29564</v>
      </c>
      <c r="L154" s="6">
        <f t="shared" si="14"/>
        <v>60935</v>
      </c>
      <c r="M154" s="7">
        <f t="shared" si="15"/>
        <v>58028</v>
      </c>
      <c r="N154" s="8">
        <f t="shared" si="16"/>
        <v>2614.3000000000002</v>
      </c>
      <c r="O154" s="9">
        <f t="shared" si="17"/>
        <v>1307.1500000000001</v>
      </c>
      <c r="P154" s="10">
        <f t="shared" si="18"/>
        <v>27450.15</v>
      </c>
      <c r="Q154" s="11">
        <f t="shared" si="19"/>
        <v>163.39375000000001</v>
      </c>
      <c r="S154" s="19">
        <f t="shared" si="20"/>
        <v>871.43333333333328</v>
      </c>
    </row>
    <row r="155" spans="1:19">
      <c r="A155" s="21" t="s">
        <v>250</v>
      </c>
      <c r="B155" s="21" t="s">
        <v>62</v>
      </c>
      <c r="C155" s="21" t="s">
        <v>49</v>
      </c>
      <c r="D155" s="21" t="s">
        <v>22</v>
      </c>
      <c r="E155" s="21">
        <v>28719</v>
      </c>
      <c r="F155" s="21">
        <v>5743</v>
      </c>
      <c r="G155" s="21">
        <v>2488</v>
      </c>
      <c r="H155" s="21">
        <v>3446</v>
      </c>
      <c r="I155" s="21">
        <v>1341</v>
      </c>
      <c r="J155" s="21">
        <v>32163</v>
      </c>
      <c r="L155" s="6">
        <f t="shared" si="14"/>
        <v>66625</v>
      </c>
      <c r="M155" s="7">
        <f t="shared" si="15"/>
        <v>65284</v>
      </c>
      <c r="N155" s="8">
        <f t="shared" si="16"/>
        <v>2871.9</v>
      </c>
      <c r="O155" s="9">
        <f t="shared" si="17"/>
        <v>1435.95</v>
      </c>
      <c r="P155" s="10">
        <f t="shared" si="18"/>
        <v>30154.95</v>
      </c>
      <c r="Q155" s="11">
        <f t="shared" si="19"/>
        <v>179.49375000000001</v>
      </c>
      <c r="S155" s="19">
        <f t="shared" si="20"/>
        <v>957.3</v>
      </c>
    </row>
    <row r="156" spans="1:19">
      <c r="A156" s="21" t="s">
        <v>251</v>
      </c>
      <c r="B156" s="21" t="s">
        <v>27</v>
      </c>
      <c r="C156" s="21" t="s">
        <v>33</v>
      </c>
      <c r="D156" s="21" t="s">
        <v>12</v>
      </c>
      <c r="E156" s="21">
        <v>29327</v>
      </c>
      <c r="F156" s="21">
        <v>5865</v>
      </c>
      <c r="G156" s="21">
        <v>4697</v>
      </c>
      <c r="H156" s="21">
        <v>3519</v>
      </c>
      <c r="I156" s="21">
        <v>2741</v>
      </c>
      <c r="J156" s="21">
        <v>33629</v>
      </c>
      <c r="L156" s="6">
        <f t="shared" si="14"/>
        <v>68821</v>
      </c>
      <c r="M156" s="7">
        <f t="shared" si="15"/>
        <v>66080</v>
      </c>
      <c r="N156" s="8">
        <f t="shared" si="16"/>
        <v>2932.7000000000003</v>
      </c>
      <c r="O156" s="9">
        <f t="shared" si="17"/>
        <v>1466.3500000000001</v>
      </c>
      <c r="P156" s="10">
        <f t="shared" si="18"/>
        <v>30793.350000000002</v>
      </c>
      <c r="Q156" s="11">
        <f t="shared" si="19"/>
        <v>183.29374999999999</v>
      </c>
      <c r="S156" s="19">
        <f t="shared" si="20"/>
        <v>977.56666666666672</v>
      </c>
    </row>
    <row r="157" spans="1:19">
      <c r="A157" s="21" t="s">
        <v>252</v>
      </c>
      <c r="B157" s="21" t="s">
        <v>135</v>
      </c>
      <c r="C157" s="21" t="s">
        <v>49</v>
      </c>
      <c r="D157" s="21" t="s">
        <v>28</v>
      </c>
      <c r="E157" s="21">
        <v>29075</v>
      </c>
      <c r="F157" s="21">
        <v>5815</v>
      </c>
      <c r="G157" s="21">
        <v>1144</v>
      </c>
      <c r="H157" s="21">
        <v>3489</v>
      </c>
      <c r="I157" s="21">
        <v>1843</v>
      </c>
      <c r="J157" s="21">
        <v>30702</v>
      </c>
      <c r="L157" s="6">
        <f t="shared" si="14"/>
        <v>65592</v>
      </c>
      <c r="M157" s="7">
        <f t="shared" si="15"/>
        <v>63749</v>
      </c>
      <c r="N157" s="8">
        <f t="shared" si="16"/>
        <v>2907.5</v>
      </c>
      <c r="O157" s="9">
        <f t="shared" si="17"/>
        <v>1453.75</v>
      </c>
      <c r="P157" s="10">
        <f t="shared" si="18"/>
        <v>30528.75</v>
      </c>
      <c r="Q157" s="11">
        <f t="shared" si="19"/>
        <v>181.71875</v>
      </c>
      <c r="S157" s="19">
        <f t="shared" si="20"/>
        <v>969.16666666666663</v>
      </c>
    </row>
    <row r="158" spans="1:19">
      <c r="A158" s="21" t="s">
        <v>253</v>
      </c>
      <c r="B158" s="21" t="s">
        <v>254</v>
      </c>
      <c r="C158" s="21" t="s">
        <v>49</v>
      </c>
      <c r="D158" s="21" t="s">
        <v>22</v>
      </c>
      <c r="E158" s="21">
        <v>32293</v>
      </c>
      <c r="F158" s="21">
        <v>6458</v>
      </c>
      <c r="G158" s="21">
        <v>4325</v>
      </c>
      <c r="H158" s="21">
        <v>3875</v>
      </c>
      <c r="I158" s="21">
        <v>2146</v>
      </c>
      <c r="J158" s="21">
        <v>37055</v>
      </c>
      <c r="L158" s="6">
        <f t="shared" si="14"/>
        <v>75806</v>
      </c>
      <c r="M158" s="7">
        <f t="shared" si="15"/>
        <v>73660</v>
      </c>
      <c r="N158" s="8">
        <f t="shared" si="16"/>
        <v>3229.3</v>
      </c>
      <c r="O158" s="9">
        <f t="shared" si="17"/>
        <v>1614.65</v>
      </c>
      <c r="P158" s="10">
        <f t="shared" si="18"/>
        <v>33907.65</v>
      </c>
      <c r="Q158" s="11">
        <f t="shared" si="19"/>
        <v>201.83125000000001</v>
      </c>
      <c r="S158" s="19">
        <f t="shared" si="20"/>
        <v>1076.4333333333334</v>
      </c>
    </row>
    <row r="159" spans="1:19">
      <c r="A159" s="21" t="s">
        <v>255</v>
      </c>
      <c r="B159" s="21" t="s">
        <v>213</v>
      </c>
      <c r="C159" s="21" t="s">
        <v>33</v>
      </c>
      <c r="D159" s="21" t="s">
        <v>36</v>
      </c>
      <c r="E159" s="21">
        <v>24608</v>
      </c>
      <c r="F159" s="21">
        <v>4921</v>
      </c>
      <c r="G159" s="21">
        <v>3746</v>
      </c>
      <c r="H159" s="21">
        <v>2952</v>
      </c>
      <c r="I159" s="21">
        <v>1344</v>
      </c>
      <c r="J159" s="21">
        <v>28979</v>
      </c>
      <c r="L159" s="6">
        <f t="shared" si="14"/>
        <v>58508</v>
      </c>
      <c r="M159" s="7">
        <f t="shared" si="15"/>
        <v>57164</v>
      </c>
      <c r="N159" s="8">
        <f t="shared" si="16"/>
        <v>2460.8000000000002</v>
      </c>
      <c r="O159" s="9">
        <f t="shared" si="17"/>
        <v>1230.4000000000001</v>
      </c>
      <c r="P159" s="10">
        <f t="shared" si="18"/>
        <v>25838.400000000001</v>
      </c>
      <c r="Q159" s="11">
        <f t="shared" si="19"/>
        <v>153.80000000000001</v>
      </c>
      <c r="S159" s="19">
        <f t="shared" si="20"/>
        <v>820.26666666666665</v>
      </c>
    </row>
    <row r="160" spans="1:19">
      <c r="A160" s="21" t="s">
        <v>256</v>
      </c>
      <c r="B160" s="21" t="s">
        <v>24</v>
      </c>
      <c r="C160" s="21" t="s">
        <v>21</v>
      </c>
      <c r="D160" s="21" t="s">
        <v>12</v>
      </c>
      <c r="E160" s="21">
        <v>15611</v>
      </c>
      <c r="F160" s="21">
        <v>3122</v>
      </c>
      <c r="G160" s="21">
        <v>3014</v>
      </c>
      <c r="H160" s="21">
        <v>1873</v>
      </c>
      <c r="I160" s="21">
        <v>1904</v>
      </c>
      <c r="J160" s="21">
        <v>17970</v>
      </c>
      <c r="L160" s="6">
        <f t="shared" si="14"/>
        <v>36703</v>
      </c>
      <c r="M160" s="7">
        <f t="shared" si="15"/>
        <v>34799</v>
      </c>
      <c r="N160" s="8">
        <f t="shared" si="16"/>
        <v>1561.1000000000001</v>
      </c>
      <c r="O160" s="9">
        <f t="shared" si="17"/>
        <v>780.55000000000007</v>
      </c>
      <c r="P160" s="10">
        <f t="shared" si="18"/>
        <v>16391.55</v>
      </c>
      <c r="Q160" s="11">
        <f t="shared" si="19"/>
        <v>97.568749999999994</v>
      </c>
      <c r="S160" s="19">
        <f t="shared" si="20"/>
        <v>520.36666666666667</v>
      </c>
    </row>
    <row r="161" spans="1:19">
      <c r="A161" s="21" t="s">
        <v>257</v>
      </c>
      <c r="B161" s="21" t="s">
        <v>77</v>
      </c>
      <c r="C161" s="21" t="s">
        <v>33</v>
      </c>
      <c r="D161" s="21" t="s">
        <v>12</v>
      </c>
      <c r="E161" s="21">
        <v>50006</v>
      </c>
      <c r="F161" s="21">
        <v>10001</v>
      </c>
      <c r="G161" s="21">
        <v>2393</v>
      </c>
      <c r="H161" s="21">
        <v>6000</v>
      </c>
      <c r="I161" s="21">
        <v>1082</v>
      </c>
      <c r="J161" s="21">
        <v>55318</v>
      </c>
      <c r="L161" s="6">
        <f t="shared" si="14"/>
        <v>115325</v>
      </c>
      <c r="M161" s="7">
        <f t="shared" si="15"/>
        <v>114243</v>
      </c>
      <c r="N161" s="8">
        <f t="shared" si="16"/>
        <v>5000.6000000000004</v>
      </c>
      <c r="O161" s="9">
        <f t="shared" si="17"/>
        <v>2500.3000000000002</v>
      </c>
      <c r="P161" s="10">
        <f t="shared" si="18"/>
        <v>52506.3</v>
      </c>
      <c r="Q161" s="11">
        <f t="shared" si="19"/>
        <v>312.53750000000002</v>
      </c>
      <c r="S161" s="19">
        <f t="shared" si="20"/>
        <v>1666.8666666666666</v>
      </c>
    </row>
    <row r="162" spans="1:19">
      <c r="A162" s="21" t="s">
        <v>258</v>
      </c>
      <c r="B162" s="21" t="s">
        <v>177</v>
      </c>
      <c r="C162" s="21" t="s">
        <v>21</v>
      </c>
      <c r="D162" s="21" t="s">
        <v>22</v>
      </c>
      <c r="E162" s="21">
        <v>40593</v>
      </c>
      <c r="F162" s="21">
        <v>8118</v>
      </c>
      <c r="G162" s="21">
        <v>1480</v>
      </c>
      <c r="H162" s="21">
        <v>4871</v>
      </c>
      <c r="I162" s="21">
        <v>1002</v>
      </c>
      <c r="J162" s="21">
        <v>44318</v>
      </c>
      <c r="L162" s="6">
        <f t="shared" si="14"/>
        <v>93029</v>
      </c>
      <c r="M162" s="7">
        <f t="shared" si="15"/>
        <v>92027</v>
      </c>
      <c r="N162" s="8">
        <f t="shared" si="16"/>
        <v>4059.3</v>
      </c>
      <c r="O162" s="9">
        <f t="shared" si="17"/>
        <v>2029.65</v>
      </c>
      <c r="P162" s="10">
        <f t="shared" si="18"/>
        <v>42622.65</v>
      </c>
      <c r="Q162" s="11">
        <f t="shared" si="19"/>
        <v>253.70625000000001</v>
      </c>
      <c r="S162" s="19">
        <f t="shared" si="20"/>
        <v>1353.1</v>
      </c>
    </row>
    <row r="163" spans="1:19">
      <c r="A163" s="21" t="s">
        <v>259</v>
      </c>
      <c r="B163" s="21" t="s">
        <v>38</v>
      </c>
      <c r="C163" s="21" t="s">
        <v>21</v>
      </c>
      <c r="D163" s="21" t="s">
        <v>28</v>
      </c>
      <c r="E163" s="21">
        <v>30719</v>
      </c>
      <c r="F163" s="21">
        <v>6143</v>
      </c>
      <c r="G163" s="21">
        <v>3053</v>
      </c>
      <c r="H163" s="21">
        <v>3686</v>
      </c>
      <c r="I163" s="21">
        <v>1032</v>
      </c>
      <c r="J163" s="21">
        <v>35197</v>
      </c>
      <c r="L163" s="6">
        <f t="shared" si="14"/>
        <v>72059</v>
      </c>
      <c r="M163" s="7">
        <f t="shared" si="15"/>
        <v>71027</v>
      </c>
      <c r="N163" s="8">
        <f t="shared" si="16"/>
        <v>3071.9</v>
      </c>
      <c r="O163" s="9">
        <f t="shared" si="17"/>
        <v>1535.95</v>
      </c>
      <c r="P163" s="10">
        <f t="shared" si="18"/>
        <v>32254.95</v>
      </c>
      <c r="Q163" s="11">
        <f t="shared" si="19"/>
        <v>191.99375000000001</v>
      </c>
      <c r="S163" s="19">
        <f t="shared" si="20"/>
        <v>1023.9666666666667</v>
      </c>
    </row>
    <row r="164" spans="1:19">
      <c r="A164" s="21" t="s">
        <v>260</v>
      </c>
      <c r="B164" s="21" t="s">
        <v>42</v>
      </c>
      <c r="C164" s="21" t="s">
        <v>33</v>
      </c>
      <c r="D164" s="21" t="s">
        <v>12</v>
      </c>
      <c r="E164" s="21">
        <v>51774</v>
      </c>
      <c r="F164" s="21">
        <v>10354</v>
      </c>
      <c r="G164" s="21">
        <v>2932</v>
      </c>
      <c r="H164" s="21">
        <v>6212</v>
      </c>
      <c r="I164" s="21">
        <v>687</v>
      </c>
      <c r="J164" s="21">
        <v>58161</v>
      </c>
      <c r="L164" s="6">
        <f t="shared" si="14"/>
        <v>120289</v>
      </c>
      <c r="M164" s="7">
        <f t="shared" si="15"/>
        <v>119602</v>
      </c>
      <c r="N164" s="8">
        <f t="shared" si="16"/>
        <v>5177.4000000000005</v>
      </c>
      <c r="O164" s="9">
        <f t="shared" si="17"/>
        <v>2588.7000000000003</v>
      </c>
      <c r="P164" s="10">
        <f t="shared" si="18"/>
        <v>54362.700000000004</v>
      </c>
      <c r="Q164" s="11">
        <f t="shared" si="19"/>
        <v>323.58749999999998</v>
      </c>
      <c r="S164" s="19">
        <f t="shared" si="20"/>
        <v>1725.8</v>
      </c>
    </row>
    <row r="165" spans="1:19">
      <c r="A165" s="21" t="s">
        <v>261</v>
      </c>
      <c r="B165" s="21" t="s">
        <v>262</v>
      </c>
      <c r="C165" s="21" t="s">
        <v>49</v>
      </c>
      <c r="D165" s="21" t="s">
        <v>36</v>
      </c>
      <c r="E165" s="21">
        <v>54842</v>
      </c>
      <c r="F165" s="21">
        <v>10968</v>
      </c>
      <c r="G165" s="21">
        <v>1151</v>
      </c>
      <c r="H165" s="21">
        <v>6581</v>
      </c>
      <c r="I165" s="21">
        <v>2318</v>
      </c>
      <c r="J165" s="21">
        <v>58062</v>
      </c>
      <c r="L165" s="6">
        <f t="shared" si="14"/>
        <v>123872</v>
      </c>
      <c r="M165" s="7">
        <f t="shared" si="15"/>
        <v>121554</v>
      </c>
      <c r="N165" s="8">
        <f t="shared" si="16"/>
        <v>5484.2000000000007</v>
      </c>
      <c r="O165" s="9">
        <f t="shared" si="17"/>
        <v>2742.1000000000004</v>
      </c>
      <c r="P165" s="10">
        <f t="shared" si="18"/>
        <v>57584.100000000006</v>
      </c>
      <c r="Q165" s="11">
        <f t="shared" si="19"/>
        <v>342.76249999999999</v>
      </c>
      <c r="S165" s="19">
        <f t="shared" si="20"/>
        <v>1828.0666666666666</v>
      </c>
    </row>
    <row r="166" spans="1:19">
      <c r="A166" s="21" t="s">
        <v>263</v>
      </c>
      <c r="B166" s="21" t="s">
        <v>143</v>
      </c>
      <c r="C166" s="21" t="s">
        <v>11</v>
      </c>
      <c r="D166" s="21" t="s">
        <v>28</v>
      </c>
      <c r="E166" s="21">
        <v>29171</v>
      </c>
      <c r="F166" s="21">
        <v>5834</v>
      </c>
      <c r="G166" s="21">
        <v>4820</v>
      </c>
      <c r="H166" s="21">
        <v>3500</v>
      </c>
      <c r="I166" s="21">
        <v>1454</v>
      </c>
      <c r="J166" s="21">
        <v>34871</v>
      </c>
      <c r="L166" s="6">
        <f t="shared" si="14"/>
        <v>69876</v>
      </c>
      <c r="M166" s="7">
        <f t="shared" si="15"/>
        <v>68422</v>
      </c>
      <c r="N166" s="8">
        <f t="shared" si="16"/>
        <v>2917.1000000000004</v>
      </c>
      <c r="O166" s="9">
        <f t="shared" si="17"/>
        <v>1458.5500000000002</v>
      </c>
      <c r="P166" s="10">
        <f t="shared" si="18"/>
        <v>30629.550000000003</v>
      </c>
      <c r="Q166" s="11">
        <f t="shared" si="19"/>
        <v>182.31874999999999</v>
      </c>
      <c r="S166" s="19">
        <f t="shared" si="20"/>
        <v>972.36666666666667</v>
      </c>
    </row>
    <row r="167" spans="1:19">
      <c r="A167" s="21" t="s">
        <v>264</v>
      </c>
      <c r="B167" s="21" t="s">
        <v>149</v>
      </c>
      <c r="C167" s="21" t="s">
        <v>15</v>
      </c>
      <c r="D167" s="21" t="s">
        <v>12</v>
      </c>
      <c r="E167" s="21">
        <v>43125</v>
      </c>
      <c r="F167" s="21">
        <v>8625</v>
      </c>
      <c r="G167" s="21">
        <v>4910</v>
      </c>
      <c r="H167" s="21">
        <v>5175</v>
      </c>
      <c r="I167" s="21">
        <v>2123</v>
      </c>
      <c r="J167" s="21">
        <v>49362</v>
      </c>
      <c r="L167" s="6">
        <f t="shared" si="14"/>
        <v>101112</v>
      </c>
      <c r="M167" s="7">
        <f t="shared" si="15"/>
        <v>98989</v>
      </c>
      <c r="N167" s="8">
        <f t="shared" si="16"/>
        <v>4312.5</v>
      </c>
      <c r="O167" s="9">
        <f t="shared" si="17"/>
        <v>2156.25</v>
      </c>
      <c r="P167" s="10">
        <f t="shared" si="18"/>
        <v>45281.25</v>
      </c>
      <c r="Q167" s="11">
        <f t="shared" si="19"/>
        <v>269.53125</v>
      </c>
      <c r="S167" s="19">
        <f t="shared" si="20"/>
        <v>1437.5</v>
      </c>
    </row>
    <row r="168" spans="1:19">
      <c r="A168" s="21" t="s">
        <v>265</v>
      </c>
      <c r="B168" s="21" t="s">
        <v>27</v>
      </c>
      <c r="C168" s="21" t="s">
        <v>25</v>
      </c>
      <c r="D168" s="21" t="s">
        <v>22</v>
      </c>
      <c r="E168" s="21">
        <v>48944</v>
      </c>
      <c r="F168" s="21">
        <v>9788</v>
      </c>
      <c r="G168" s="21">
        <v>1720</v>
      </c>
      <c r="H168" s="21">
        <v>5873</v>
      </c>
      <c r="I168" s="21">
        <v>622</v>
      </c>
      <c r="J168" s="21">
        <v>53957</v>
      </c>
      <c r="L168" s="6">
        <f t="shared" si="14"/>
        <v>112689</v>
      </c>
      <c r="M168" s="7">
        <f t="shared" si="15"/>
        <v>112067</v>
      </c>
      <c r="N168" s="8">
        <f t="shared" si="16"/>
        <v>4894.4000000000005</v>
      </c>
      <c r="O168" s="9">
        <f t="shared" si="17"/>
        <v>2447.2000000000003</v>
      </c>
      <c r="P168" s="10">
        <f t="shared" si="18"/>
        <v>51391.200000000004</v>
      </c>
      <c r="Q168" s="11">
        <f t="shared" si="19"/>
        <v>305.89999999999998</v>
      </c>
      <c r="S168" s="19">
        <f t="shared" si="20"/>
        <v>1631.4666666666667</v>
      </c>
    </row>
    <row r="169" spans="1:19">
      <c r="A169" s="21" t="s">
        <v>266</v>
      </c>
      <c r="B169" s="21" t="s">
        <v>160</v>
      </c>
      <c r="C169" s="21" t="s">
        <v>21</v>
      </c>
      <c r="D169" s="21" t="s">
        <v>22</v>
      </c>
      <c r="E169" s="21">
        <v>37527</v>
      </c>
      <c r="F169" s="21">
        <v>7505</v>
      </c>
      <c r="G169" s="21">
        <v>4615</v>
      </c>
      <c r="H169" s="21">
        <v>4503</v>
      </c>
      <c r="I169" s="21">
        <v>2787</v>
      </c>
      <c r="J169" s="21">
        <v>42357</v>
      </c>
      <c r="L169" s="6">
        <f t="shared" si="14"/>
        <v>87389</v>
      </c>
      <c r="M169" s="7">
        <f t="shared" si="15"/>
        <v>84602</v>
      </c>
      <c r="N169" s="8">
        <f t="shared" si="16"/>
        <v>3752.7000000000003</v>
      </c>
      <c r="O169" s="9">
        <f t="shared" si="17"/>
        <v>1876.3500000000001</v>
      </c>
      <c r="P169" s="10">
        <f t="shared" si="18"/>
        <v>39403.35</v>
      </c>
      <c r="Q169" s="11">
        <f t="shared" si="19"/>
        <v>234.54374999999999</v>
      </c>
      <c r="S169" s="19">
        <f t="shared" si="20"/>
        <v>1250.9000000000001</v>
      </c>
    </row>
    <row r="170" spans="1:19">
      <c r="A170" s="21" t="s">
        <v>267</v>
      </c>
      <c r="B170" s="21" t="s">
        <v>18</v>
      </c>
      <c r="C170" s="21" t="s">
        <v>33</v>
      </c>
      <c r="D170" s="21" t="s">
        <v>16</v>
      </c>
      <c r="E170" s="21">
        <v>16600</v>
      </c>
      <c r="F170" s="21">
        <v>3320</v>
      </c>
      <c r="G170" s="21">
        <v>2622</v>
      </c>
      <c r="H170" s="21">
        <v>1992</v>
      </c>
      <c r="I170" s="21">
        <v>991</v>
      </c>
      <c r="J170" s="21">
        <v>19559</v>
      </c>
      <c r="L170" s="6">
        <f t="shared" si="14"/>
        <v>39479</v>
      </c>
      <c r="M170" s="7">
        <f t="shared" si="15"/>
        <v>38488</v>
      </c>
      <c r="N170" s="8">
        <f t="shared" si="16"/>
        <v>1660</v>
      </c>
      <c r="O170" s="9">
        <f t="shared" si="17"/>
        <v>830</v>
      </c>
      <c r="P170" s="10">
        <f t="shared" si="18"/>
        <v>17430</v>
      </c>
      <c r="Q170" s="11">
        <f t="shared" si="19"/>
        <v>103.75</v>
      </c>
      <c r="S170" s="19">
        <f t="shared" si="20"/>
        <v>553.33333333333337</v>
      </c>
    </row>
    <row r="171" spans="1:19">
      <c r="A171" s="21" t="s">
        <v>268</v>
      </c>
      <c r="B171" s="21" t="s">
        <v>123</v>
      </c>
      <c r="C171" s="21" t="s">
        <v>25</v>
      </c>
      <c r="D171" s="21" t="s">
        <v>28</v>
      </c>
      <c r="E171" s="21">
        <v>54688</v>
      </c>
      <c r="F171" s="21">
        <v>10937</v>
      </c>
      <c r="G171" s="21">
        <v>2258</v>
      </c>
      <c r="H171" s="21">
        <v>6562</v>
      </c>
      <c r="I171" s="21">
        <v>1148</v>
      </c>
      <c r="J171" s="21">
        <v>60173</v>
      </c>
      <c r="L171" s="6">
        <f t="shared" si="14"/>
        <v>125798</v>
      </c>
      <c r="M171" s="7">
        <f t="shared" si="15"/>
        <v>124650</v>
      </c>
      <c r="N171" s="8">
        <f t="shared" si="16"/>
        <v>5468.8</v>
      </c>
      <c r="O171" s="9">
        <f t="shared" si="17"/>
        <v>2734.4</v>
      </c>
      <c r="P171" s="10">
        <f t="shared" si="18"/>
        <v>57422.400000000001</v>
      </c>
      <c r="Q171" s="11">
        <f t="shared" si="19"/>
        <v>341.8</v>
      </c>
      <c r="S171" s="19">
        <f t="shared" si="20"/>
        <v>1822.9333333333334</v>
      </c>
    </row>
    <row r="172" spans="1:19">
      <c r="A172" s="21" t="s">
        <v>269</v>
      </c>
      <c r="B172" s="21" t="s">
        <v>270</v>
      </c>
      <c r="C172" s="21" t="s">
        <v>11</v>
      </c>
      <c r="D172" s="21" t="s">
        <v>36</v>
      </c>
      <c r="E172" s="21">
        <v>25603</v>
      </c>
      <c r="F172" s="21">
        <v>5120</v>
      </c>
      <c r="G172" s="21">
        <v>4625</v>
      </c>
      <c r="H172" s="21">
        <v>3072</v>
      </c>
      <c r="I172" s="21">
        <v>963</v>
      </c>
      <c r="J172" s="21">
        <v>31313</v>
      </c>
      <c r="L172" s="6">
        <f t="shared" si="14"/>
        <v>62036</v>
      </c>
      <c r="M172" s="7">
        <f t="shared" si="15"/>
        <v>61073</v>
      </c>
      <c r="N172" s="8">
        <f t="shared" si="16"/>
        <v>2560.3000000000002</v>
      </c>
      <c r="O172" s="9">
        <f t="shared" si="17"/>
        <v>1280.1500000000001</v>
      </c>
      <c r="P172" s="10">
        <f t="shared" si="18"/>
        <v>26883.15</v>
      </c>
      <c r="Q172" s="11">
        <f t="shared" si="19"/>
        <v>160.01875000000001</v>
      </c>
      <c r="S172" s="19">
        <f t="shared" si="20"/>
        <v>853.43333333333328</v>
      </c>
    </row>
    <row r="173" spans="1:19">
      <c r="A173" s="21" t="s">
        <v>271</v>
      </c>
      <c r="B173" s="21" t="s">
        <v>71</v>
      </c>
      <c r="C173" s="21" t="s">
        <v>21</v>
      </c>
      <c r="D173" s="21" t="s">
        <v>16</v>
      </c>
      <c r="E173" s="21">
        <v>45728</v>
      </c>
      <c r="F173" s="21">
        <v>9145</v>
      </c>
      <c r="G173" s="21">
        <v>3213</v>
      </c>
      <c r="H173" s="21">
        <v>5487</v>
      </c>
      <c r="I173" s="21">
        <v>1760</v>
      </c>
      <c r="J173" s="21">
        <v>50839</v>
      </c>
      <c r="L173" s="6">
        <f t="shared" si="14"/>
        <v>105712</v>
      </c>
      <c r="M173" s="7">
        <f t="shared" si="15"/>
        <v>103952</v>
      </c>
      <c r="N173" s="8">
        <f t="shared" si="16"/>
        <v>4572.8</v>
      </c>
      <c r="O173" s="9">
        <f t="shared" si="17"/>
        <v>2286.4</v>
      </c>
      <c r="P173" s="10">
        <f t="shared" si="18"/>
        <v>48014.400000000001</v>
      </c>
      <c r="Q173" s="11">
        <f t="shared" si="19"/>
        <v>285.8</v>
      </c>
      <c r="S173" s="19">
        <f t="shared" si="20"/>
        <v>1524.2666666666667</v>
      </c>
    </row>
    <row r="174" spans="1:19">
      <c r="A174" s="21" t="s">
        <v>272</v>
      </c>
      <c r="B174" s="21" t="s">
        <v>273</v>
      </c>
      <c r="C174" s="21" t="s">
        <v>11</v>
      </c>
      <c r="D174" s="21" t="s">
        <v>22</v>
      </c>
      <c r="E174" s="21">
        <v>31114</v>
      </c>
      <c r="F174" s="21">
        <v>6222</v>
      </c>
      <c r="G174" s="21">
        <v>4572</v>
      </c>
      <c r="H174" s="21">
        <v>3733</v>
      </c>
      <c r="I174" s="21">
        <v>899</v>
      </c>
      <c r="J174" s="21">
        <v>37276</v>
      </c>
      <c r="L174" s="6">
        <f t="shared" si="14"/>
        <v>74612</v>
      </c>
      <c r="M174" s="7">
        <f t="shared" si="15"/>
        <v>73713</v>
      </c>
      <c r="N174" s="8">
        <f t="shared" si="16"/>
        <v>3111.4</v>
      </c>
      <c r="O174" s="9">
        <f t="shared" si="17"/>
        <v>1555.7</v>
      </c>
      <c r="P174" s="10">
        <f t="shared" si="18"/>
        <v>32669.7</v>
      </c>
      <c r="Q174" s="11">
        <f t="shared" si="19"/>
        <v>194.46250000000001</v>
      </c>
      <c r="S174" s="19">
        <f t="shared" si="20"/>
        <v>1037.1333333333334</v>
      </c>
    </row>
    <row r="175" spans="1:19">
      <c r="A175" s="21" t="s">
        <v>274</v>
      </c>
      <c r="B175" s="21" t="s">
        <v>35</v>
      </c>
      <c r="C175" s="21" t="s">
        <v>49</v>
      </c>
      <c r="D175" s="21" t="s">
        <v>28</v>
      </c>
      <c r="E175" s="21">
        <v>18268</v>
      </c>
      <c r="F175" s="21">
        <v>3653</v>
      </c>
      <c r="G175" s="21">
        <v>3386</v>
      </c>
      <c r="H175" s="21">
        <v>2192</v>
      </c>
      <c r="I175" s="21">
        <v>607</v>
      </c>
      <c r="J175" s="21">
        <v>22508</v>
      </c>
      <c r="L175" s="6">
        <f t="shared" si="14"/>
        <v>44429</v>
      </c>
      <c r="M175" s="7">
        <f t="shared" si="15"/>
        <v>43822</v>
      </c>
      <c r="N175" s="8">
        <f t="shared" si="16"/>
        <v>1826.8000000000002</v>
      </c>
      <c r="O175" s="9">
        <f t="shared" si="17"/>
        <v>913.40000000000009</v>
      </c>
      <c r="P175" s="10">
        <f t="shared" si="18"/>
        <v>19181.400000000001</v>
      </c>
      <c r="Q175" s="11">
        <f t="shared" si="19"/>
        <v>114.175</v>
      </c>
      <c r="S175" s="19">
        <f t="shared" si="20"/>
        <v>608.93333333333328</v>
      </c>
    </row>
    <row r="176" spans="1:19">
      <c r="A176" s="21" t="s">
        <v>275</v>
      </c>
      <c r="B176" s="21" t="s">
        <v>276</v>
      </c>
      <c r="C176" s="21" t="s">
        <v>15</v>
      </c>
      <c r="D176" s="21" t="s">
        <v>36</v>
      </c>
      <c r="E176" s="21">
        <v>18578</v>
      </c>
      <c r="F176" s="21">
        <v>3715</v>
      </c>
      <c r="G176" s="21">
        <v>2392</v>
      </c>
      <c r="H176" s="21">
        <v>2229</v>
      </c>
      <c r="I176" s="21">
        <v>2251</v>
      </c>
      <c r="J176" s="21">
        <v>20205</v>
      </c>
      <c r="L176" s="6">
        <f t="shared" si="14"/>
        <v>42498</v>
      </c>
      <c r="M176" s="7">
        <f t="shared" si="15"/>
        <v>40247</v>
      </c>
      <c r="N176" s="8">
        <f t="shared" si="16"/>
        <v>1857.8000000000002</v>
      </c>
      <c r="O176" s="9">
        <f t="shared" si="17"/>
        <v>928.90000000000009</v>
      </c>
      <c r="P176" s="10">
        <f t="shared" si="18"/>
        <v>19506.900000000001</v>
      </c>
      <c r="Q176" s="11">
        <f t="shared" si="19"/>
        <v>116.1125</v>
      </c>
      <c r="S176" s="19">
        <f t="shared" si="20"/>
        <v>619.26666666666665</v>
      </c>
    </row>
    <row r="177" spans="1:19">
      <c r="A177" s="21" t="s">
        <v>277</v>
      </c>
      <c r="B177" s="21" t="s">
        <v>213</v>
      </c>
      <c r="C177" s="21" t="s">
        <v>21</v>
      </c>
      <c r="D177" s="21" t="s">
        <v>36</v>
      </c>
      <c r="E177" s="21">
        <v>28036</v>
      </c>
      <c r="F177" s="21">
        <v>5607</v>
      </c>
      <c r="G177" s="21">
        <v>4056</v>
      </c>
      <c r="H177" s="21">
        <v>3364</v>
      </c>
      <c r="I177" s="21">
        <v>2529</v>
      </c>
      <c r="J177" s="21">
        <v>31806</v>
      </c>
      <c r="L177" s="6">
        <f t="shared" si="14"/>
        <v>65449</v>
      </c>
      <c r="M177" s="7">
        <f t="shared" si="15"/>
        <v>62920</v>
      </c>
      <c r="N177" s="8">
        <f t="shared" si="16"/>
        <v>2803.6000000000004</v>
      </c>
      <c r="O177" s="9">
        <f t="shared" si="17"/>
        <v>1401.8000000000002</v>
      </c>
      <c r="P177" s="10">
        <f t="shared" si="18"/>
        <v>29437.800000000003</v>
      </c>
      <c r="Q177" s="11">
        <f t="shared" si="19"/>
        <v>175.22499999999999</v>
      </c>
      <c r="S177" s="19">
        <f t="shared" si="20"/>
        <v>934.5333333333333</v>
      </c>
    </row>
    <row r="178" spans="1:19">
      <c r="A178" s="21" t="s">
        <v>278</v>
      </c>
      <c r="B178" s="21" t="s">
        <v>213</v>
      </c>
      <c r="C178" s="21" t="s">
        <v>49</v>
      </c>
      <c r="D178" s="21" t="s">
        <v>16</v>
      </c>
      <c r="E178" s="21">
        <v>34761</v>
      </c>
      <c r="F178" s="21">
        <v>6952</v>
      </c>
      <c r="G178" s="21">
        <v>4444</v>
      </c>
      <c r="H178" s="21">
        <v>4171</v>
      </c>
      <c r="I178" s="21">
        <v>2662</v>
      </c>
      <c r="J178" s="21">
        <v>39324</v>
      </c>
      <c r="L178" s="6">
        <f t="shared" si="14"/>
        <v>81037</v>
      </c>
      <c r="M178" s="7">
        <f t="shared" si="15"/>
        <v>78375</v>
      </c>
      <c r="N178" s="8">
        <f t="shared" si="16"/>
        <v>3476.1000000000004</v>
      </c>
      <c r="O178" s="9">
        <f t="shared" si="17"/>
        <v>1738.0500000000002</v>
      </c>
      <c r="P178" s="10">
        <f t="shared" si="18"/>
        <v>36499.050000000003</v>
      </c>
      <c r="Q178" s="11">
        <f t="shared" si="19"/>
        <v>217.25624999999999</v>
      </c>
      <c r="S178" s="19">
        <f t="shared" si="20"/>
        <v>1158.7</v>
      </c>
    </row>
    <row r="179" spans="1:19">
      <c r="A179" s="21" t="s">
        <v>279</v>
      </c>
      <c r="B179" s="21" t="s">
        <v>95</v>
      </c>
      <c r="C179" s="21" t="s">
        <v>11</v>
      </c>
      <c r="D179" s="21" t="s">
        <v>16</v>
      </c>
      <c r="E179" s="21">
        <v>30390</v>
      </c>
      <c r="F179" s="21">
        <v>6078</v>
      </c>
      <c r="G179" s="21">
        <v>2198</v>
      </c>
      <c r="H179" s="21">
        <v>3646</v>
      </c>
      <c r="I179" s="21">
        <v>1258</v>
      </c>
      <c r="J179" s="21">
        <v>33762</v>
      </c>
      <c r="L179" s="6">
        <f t="shared" si="14"/>
        <v>70230</v>
      </c>
      <c r="M179" s="7">
        <f t="shared" si="15"/>
        <v>68972</v>
      </c>
      <c r="N179" s="8">
        <f t="shared" si="16"/>
        <v>3039</v>
      </c>
      <c r="O179" s="9">
        <f t="shared" si="17"/>
        <v>1519.5</v>
      </c>
      <c r="P179" s="10">
        <f t="shared" si="18"/>
        <v>31909.5</v>
      </c>
      <c r="Q179" s="11">
        <f t="shared" si="19"/>
        <v>189.9375</v>
      </c>
      <c r="S179" s="19">
        <f t="shared" si="20"/>
        <v>1013</v>
      </c>
    </row>
    <row r="180" spans="1:19">
      <c r="A180" s="21" t="s">
        <v>280</v>
      </c>
      <c r="B180" s="21" t="s">
        <v>30</v>
      </c>
      <c r="C180" s="21" t="s">
        <v>15</v>
      </c>
      <c r="D180" s="21" t="s">
        <v>36</v>
      </c>
      <c r="E180" s="21">
        <v>29394</v>
      </c>
      <c r="F180" s="21">
        <v>5878</v>
      </c>
      <c r="G180" s="21">
        <v>4837</v>
      </c>
      <c r="H180" s="21">
        <v>3527</v>
      </c>
      <c r="I180" s="21">
        <v>857</v>
      </c>
      <c r="J180" s="21">
        <v>35725</v>
      </c>
      <c r="L180" s="6">
        <f t="shared" si="14"/>
        <v>70997</v>
      </c>
      <c r="M180" s="7">
        <f t="shared" si="15"/>
        <v>70140</v>
      </c>
      <c r="N180" s="8">
        <f t="shared" si="16"/>
        <v>2939.4</v>
      </c>
      <c r="O180" s="9">
        <f t="shared" si="17"/>
        <v>1469.7</v>
      </c>
      <c r="P180" s="10">
        <f t="shared" si="18"/>
        <v>30863.7</v>
      </c>
      <c r="Q180" s="11">
        <f t="shared" si="19"/>
        <v>183.71250000000001</v>
      </c>
      <c r="S180" s="19">
        <f t="shared" si="20"/>
        <v>979.8</v>
      </c>
    </row>
    <row r="181" spans="1:19">
      <c r="A181" s="21" t="s">
        <v>281</v>
      </c>
      <c r="B181" s="21" t="s">
        <v>38</v>
      </c>
      <c r="C181" s="21" t="s">
        <v>21</v>
      </c>
      <c r="D181" s="21" t="s">
        <v>28</v>
      </c>
      <c r="E181" s="21">
        <v>56830</v>
      </c>
      <c r="F181" s="21">
        <v>11366</v>
      </c>
      <c r="G181" s="21">
        <v>1787</v>
      </c>
      <c r="H181" s="21">
        <v>6819</v>
      </c>
      <c r="I181" s="21">
        <v>1231</v>
      </c>
      <c r="J181" s="21">
        <v>61933</v>
      </c>
      <c r="L181" s="6">
        <f t="shared" si="14"/>
        <v>130129</v>
      </c>
      <c r="M181" s="7">
        <f t="shared" si="15"/>
        <v>128898</v>
      </c>
      <c r="N181" s="8">
        <f t="shared" si="16"/>
        <v>5683</v>
      </c>
      <c r="O181" s="9">
        <f t="shared" si="17"/>
        <v>2841.5</v>
      </c>
      <c r="P181" s="10">
        <f t="shared" si="18"/>
        <v>59671.5</v>
      </c>
      <c r="Q181" s="11">
        <f t="shared" si="19"/>
        <v>355.1875</v>
      </c>
      <c r="S181" s="19">
        <f t="shared" si="20"/>
        <v>1894.3333333333333</v>
      </c>
    </row>
    <row r="182" spans="1:19">
      <c r="A182" s="21" t="s">
        <v>282</v>
      </c>
      <c r="B182" s="21" t="s">
        <v>283</v>
      </c>
      <c r="C182" s="21" t="s">
        <v>33</v>
      </c>
      <c r="D182" s="21" t="s">
        <v>36</v>
      </c>
      <c r="E182" s="21">
        <v>57412</v>
      </c>
      <c r="F182" s="21">
        <v>11482</v>
      </c>
      <c r="G182" s="21">
        <v>3348</v>
      </c>
      <c r="H182" s="21">
        <v>6889</v>
      </c>
      <c r="I182" s="21">
        <v>696</v>
      </c>
      <c r="J182" s="21">
        <v>64657</v>
      </c>
      <c r="L182" s="6">
        <f t="shared" si="14"/>
        <v>133551</v>
      </c>
      <c r="M182" s="7">
        <f t="shared" si="15"/>
        <v>132855</v>
      </c>
      <c r="N182" s="8">
        <f t="shared" si="16"/>
        <v>5741.2000000000007</v>
      </c>
      <c r="O182" s="9">
        <f t="shared" si="17"/>
        <v>2870.6000000000004</v>
      </c>
      <c r="P182" s="10">
        <f t="shared" si="18"/>
        <v>60282.600000000006</v>
      </c>
      <c r="Q182" s="11">
        <f t="shared" si="19"/>
        <v>358.82499999999999</v>
      </c>
      <c r="S182" s="19">
        <f t="shared" si="20"/>
        <v>1913.7333333333333</v>
      </c>
    </row>
    <row r="183" spans="1:19">
      <c r="A183" s="21" t="s">
        <v>284</v>
      </c>
      <c r="B183" s="21" t="s">
        <v>149</v>
      </c>
      <c r="C183" s="21" t="s">
        <v>15</v>
      </c>
      <c r="D183" s="21" t="s">
        <v>28</v>
      </c>
      <c r="E183" s="21">
        <v>20587</v>
      </c>
      <c r="F183" s="21">
        <v>4117</v>
      </c>
      <c r="G183" s="21">
        <v>1219</v>
      </c>
      <c r="H183" s="21">
        <v>2470</v>
      </c>
      <c r="I183" s="21">
        <v>962</v>
      </c>
      <c r="J183" s="21">
        <v>22491</v>
      </c>
      <c r="L183" s="6">
        <f t="shared" si="14"/>
        <v>47195</v>
      </c>
      <c r="M183" s="7">
        <f t="shared" si="15"/>
        <v>46233</v>
      </c>
      <c r="N183" s="8">
        <f t="shared" si="16"/>
        <v>2058.7000000000003</v>
      </c>
      <c r="O183" s="9">
        <f t="shared" si="17"/>
        <v>1029.3500000000001</v>
      </c>
      <c r="P183" s="10">
        <f t="shared" si="18"/>
        <v>21616.350000000002</v>
      </c>
      <c r="Q183" s="11">
        <f t="shared" si="19"/>
        <v>128.66874999999999</v>
      </c>
      <c r="S183" s="19">
        <f t="shared" si="20"/>
        <v>686.23333333333335</v>
      </c>
    </row>
    <row r="184" spans="1:19">
      <c r="A184" s="21" t="s">
        <v>285</v>
      </c>
      <c r="B184" s="21" t="s">
        <v>140</v>
      </c>
      <c r="C184" s="21" t="s">
        <v>49</v>
      </c>
      <c r="D184" s="21" t="s">
        <v>28</v>
      </c>
      <c r="E184" s="21">
        <v>53794</v>
      </c>
      <c r="F184" s="21">
        <v>10758</v>
      </c>
      <c r="G184" s="21">
        <v>2336</v>
      </c>
      <c r="H184" s="21">
        <v>6455</v>
      </c>
      <c r="I184" s="21">
        <v>2024</v>
      </c>
      <c r="J184" s="21">
        <v>58409</v>
      </c>
      <c r="L184" s="6">
        <f t="shared" si="14"/>
        <v>122961</v>
      </c>
      <c r="M184" s="7">
        <f t="shared" si="15"/>
        <v>120937</v>
      </c>
      <c r="N184" s="8">
        <f t="shared" si="16"/>
        <v>5379.4000000000005</v>
      </c>
      <c r="O184" s="9">
        <f t="shared" si="17"/>
        <v>2689.7000000000003</v>
      </c>
      <c r="P184" s="10">
        <f t="shared" si="18"/>
        <v>56483.700000000004</v>
      </c>
      <c r="Q184" s="11">
        <f t="shared" si="19"/>
        <v>336.21249999999998</v>
      </c>
      <c r="S184" s="19">
        <f t="shared" si="20"/>
        <v>1793.1333333333334</v>
      </c>
    </row>
    <row r="185" spans="1:19">
      <c r="A185" s="21" t="s">
        <v>286</v>
      </c>
      <c r="B185" s="21" t="s">
        <v>287</v>
      </c>
      <c r="C185" s="21" t="s">
        <v>11</v>
      </c>
      <c r="D185" s="21" t="s">
        <v>22</v>
      </c>
      <c r="E185" s="21">
        <v>43612</v>
      </c>
      <c r="F185" s="21">
        <v>8722</v>
      </c>
      <c r="G185" s="21">
        <v>3045</v>
      </c>
      <c r="H185" s="21">
        <v>5233</v>
      </c>
      <c r="I185" s="21">
        <v>1628</v>
      </c>
      <c r="J185" s="21">
        <v>48518</v>
      </c>
      <c r="L185" s="6">
        <f t="shared" si="14"/>
        <v>100852</v>
      </c>
      <c r="M185" s="7">
        <f t="shared" si="15"/>
        <v>99224</v>
      </c>
      <c r="N185" s="8">
        <f t="shared" si="16"/>
        <v>4361.2</v>
      </c>
      <c r="O185" s="9">
        <f t="shared" si="17"/>
        <v>2180.6</v>
      </c>
      <c r="P185" s="10">
        <f t="shared" si="18"/>
        <v>45792.6</v>
      </c>
      <c r="Q185" s="11">
        <f t="shared" si="19"/>
        <v>272.57499999999999</v>
      </c>
      <c r="S185" s="19">
        <f t="shared" si="20"/>
        <v>1453.7333333333333</v>
      </c>
    </row>
    <row r="186" spans="1:19">
      <c r="A186" s="21" t="s">
        <v>288</v>
      </c>
      <c r="B186" s="21" t="s">
        <v>200</v>
      </c>
      <c r="C186" s="21" t="s">
        <v>11</v>
      </c>
      <c r="D186" s="21" t="s">
        <v>36</v>
      </c>
      <c r="E186" s="21">
        <v>44383</v>
      </c>
      <c r="F186" s="21">
        <v>8876</v>
      </c>
      <c r="G186" s="21">
        <v>3761</v>
      </c>
      <c r="H186" s="21">
        <v>5325</v>
      </c>
      <c r="I186" s="21">
        <v>2192</v>
      </c>
      <c r="J186" s="21">
        <v>49503</v>
      </c>
      <c r="L186" s="6">
        <f t="shared" si="14"/>
        <v>102762</v>
      </c>
      <c r="M186" s="7">
        <f t="shared" si="15"/>
        <v>100570</v>
      </c>
      <c r="N186" s="8">
        <f t="shared" si="16"/>
        <v>4438.3</v>
      </c>
      <c r="O186" s="9">
        <f t="shared" si="17"/>
        <v>2219.15</v>
      </c>
      <c r="P186" s="10">
        <f t="shared" si="18"/>
        <v>46602.15</v>
      </c>
      <c r="Q186" s="11">
        <f t="shared" si="19"/>
        <v>277.39375000000001</v>
      </c>
      <c r="S186" s="19">
        <f t="shared" si="20"/>
        <v>1479.4333333333334</v>
      </c>
    </row>
    <row r="187" spans="1:19">
      <c r="A187" s="21" t="s">
        <v>289</v>
      </c>
      <c r="B187" s="21" t="s">
        <v>290</v>
      </c>
      <c r="C187" s="21" t="s">
        <v>21</v>
      </c>
      <c r="D187" s="21" t="s">
        <v>36</v>
      </c>
      <c r="E187" s="21">
        <v>51276</v>
      </c>
      <c r="F187" s="21">
        <v>10255</v>
      </c>
      <c r="G187" s="21">
        <v>1963</v>
      </c>
      <c r="H187" s="21">
        <v>6153</v>
      </c>
      <c r="I187" s="21">
        <v>581</v>
      </c>
      <c r="J187" s="21">
        <v>56760</v>
      </c>
      <c r="L187" s="6">
        <f t="shared" si="14"/>
        <v>118291</v>
      </c>
      <c r="M187" s="7">
        <f t="shared" si="15"/>
        <v>117710</v>
      </c>
      <c r="N187" s="8">
        <f t="shared" si="16"/>
        <v>5127.6000000000004</v>
      </c>
      <c r="O187" s="9">
        <f t="shared" si="17"/>
        <v>2563.8000000000002</v>
      </c>
      <c r="P187" s="10">
        <f t="shared" si="18"/>
        <v>53839.8</v>
      </c>
      <c r="Q187" s="11">
        <f t="shared" si="19"/>
        <v>320.47500000000002</v>
      </c>
      <c r="S187" s="19">
        <f t="shared" si="20"/>
        <v>1709.2</v>
      </c>
    </row>
    <row r="188" spans="1:19">
      <c r="A188" s="21" t="s">
        <v>291</v>
      </c>
      <c r="B188" s="21" t="s">
        <v>60</v>
      </c>
      <c r="C188" s="21" t="s">
        <v>15</v>
      </c>
      <c r="D188" s="21" t="s">
        <v>12</v>
      </c>
      <c r="E188" s="21">
        <v>54652</v>
      </c>
      <c r="F188" s="21">
        <v>10930</v>
      </c>
      <c r="G188" s="21">
        <v>1502</v>
      </c>
      <c r="H188" s="21">
        <v>6558</v>
      </c>
      <c r="I188" s="21">
        <v>904</v>
      </c>
      <c r="J188" s="21">
        <v>59622</v>
      </c>
      <c r="L188" s="6">
        <f t="shared" si="14"/>
        <v>125204</v>
      </c>
      <c r="M188" s="7">
        <f t="shared" si="15"/>
        <v>124300</v>
      </c>
      <c r="N188" s="8">
        <f t="shared" si="16"/>
        <v>5465.2000000000007</v>
      </c>
      <c r="O188" s="9">
        <f t="shared" si="17"/>
        <v>2732.6000000000004</v>
      </c>
      <c r="P188" s="10">
        <f t="shared" si="18"/>
        <v>57384.600000000006</v>
      </c>
      <c r="Q188" s="11">
        <f t="shared" si="19"/>
        <v>341.57499999999999</v>
      </c>
      <c r="S188" s="19">
        <f t="shared" si="20"/>
        <v>1821.7333333333333</v>
      </c>
    </row>
    <row r="189" spans="1:19">
      <c r="A189" s="21" t="s">
        <v>292</v>
      </c>
      <c r="B189" s="21" t="s">
        <v>133</v>
      </c>
      <c r="C189" s="21" t="s">
        <v>25</v>
      </c>
      <c r="D189" s="21" t="s">
        <v>36</v>
      </c>
      <c r="E189" s="21">
        <v>58644</v>
      </c>
      <c r="F189" s="21">
        <v>11728</v>
      </c>
      <c r="G189" s="21">
        <v>1460</v>
      </c>
      <c r="H189" s="21">
        <v>7037</v>
      </c>
      <c r="I189" s="21">
        <v>2651</v>
      </c>
      <c r="J189" s="21">
        <v>62144</v>
      </c>
      <c r="L189" s="6">
        <f t="shared" si="14"/>
        <v>132516</v>
      </c>
      <c r="M189" s="7">
        <f t="shared" si="15"/>
        <v>129865</v>
      </c>
      <c r="N189" s="8">
        <f t="shared" si="16"/>
        <v>5864.4000000000005</v>
      </c>
      <c r="O189" s="9">
        <f t="shared" si="17"/>
        <v>2932.2000000000003</v>
      </c>
      <c r="P189" s="10">
        <f t="shared" si="18"/>
        <v>61576.200000000004</v>
      </c>
      <c r="Q189" s="11">
        <f t="shared" si="19"/>
        <v>366.52499999999998</v>
      </c>
      <c r="S189" s="19">
        <f t="shared" si="20"/>
        <v>1954.8</v>
      </c>
    </row>
    <row r="190" spans="1:19">
      <c r="A190" s="21" t="s">
        <v>293</v>
      </c>
      <c r="B190" s="21" t="s">
        <v>213</v>
      </c>
      <c r="C190" s="21" t="s">
        <v>15</v>
      </c>
      <c r="D190" s="21" t="s">
        <v>12</v>
      </c>
      <c r="E190" s="21">
        <v>44932</v>
      </c>
      <c r="F190" s="21">
        <v>8986</v>
      </c>
      <c r="G190" s="21">
        <v>3564</v>
      </c>
      <c r="H190" s="21">
        <v>5391</v>
      </c>
      <c r="I190" s="21">
        <v>1665</v>
      </c>
      <c r="J190" s="21">
        <v>50426</v>
      </c>
      <c r="L190" s="6">
        <f t="shared" si="14"/>
        <v>104344</v>
      </c>
      <c r="M190" s="7">
        <f t="shared" si="15"/>
        <v>102679</v>
      </c>
      <c r="N190" s="8">
        <f t="shared" si="16"/>
        <v>4493.2</v>
      </c>
      <c r="O190" s="9">
        <f t="shared" si="17"/>
        <v>2246.6</v>
      </c>
      <c r="P190" s="10">
        <f t="shared" si="18"/>
        <v>47178.6</v>
      </c>
      <c r="Q190" s="11">
        <f t="shared" si="19"/>
        <v>280.82499999999999</v>
      </c>
      <c r="S190" s="19">
        <f t="shared" si="20"/>
        <v>1497.7333333333333</v>
      </c>
    </row>
    <row r="191" spans="1:19">
      <c r="A191" s="21" t="s">
        <v>294</v>
      </c>
      <c r="B191" s="21" t="s">
        <v>133</v>
      </c>
      <c r="C191" s="21" t="s">
        <v>21</v>
      </c>
      <c r="D191" s="21" t="s">
        <v>36</v>
      </c>
      <c r="E191" s="21">
        <v>48094</v>
      </c>
      <c r="F191" s="21">
        <v>9618</v>
      </c>
      <c r="G191" s="21">
        <v>4609</v>
      </c>
      <c r="H191" s="21">
        <v>5771</v>
      </c>
      <c r="I191" s="21">
        <v>890</v>
      </c>
      <c r="J191" s="21">
        <v>55660</v>
      </c>
      <c r="L191" s="6">
        <f t="shared" si="14"/>
        <v>113372</v>
      </c>
      <c r="M191" s="7">
        <f t="shared" si="15"/>
        <v>112482</v>
      </c>
      <c r="N191" s="8">
        <f t="shared" si="16"/>
        <v>4809.4000000000005</v>
      </c>
      <c r="O191" s="9">
        <f t="shared" si="17"/>
        <v>2404.7000000000003</v>
      </c>
      <c r="P191" s="10">
        <f t="shared" si="18"/>
        <v>50498.700000000004</v>
      </c>
      <c r="Q191" s="11">
        <f t="shared" si="19"/>
        <v>300.58749999999998</v>
      </c>
      <c r="S191" s="19">
        <f t="shared" si="20"/>
        <v>1603.1333333333334</v>
      </c>
    </row>
    <row r="192" spans="1:19">
      <c r="A192" s="21" t="s">
        <v>295</v>
      </c>
      <c r="B192" s="21" t="s">
        <v>174</v>
      </c>
      <c r="C192" s="21" t="s">
        <v>25</v>
      </c>
      <c r="D192" s="21" t="s">
        <v>22</v>
      </c>
      <c r="E192" s="21">
        <v>55690</v>
      </c>
      <c r="F192" s="21">
        <v>11138</v>
      </c>
      <c r="G192" s="21">
        <v>2908</v>
      </c>
      <c r="H192" s="21">
        <v>6682</v>
      </c>
      <c r="I192" s="21">
        <v>1016</v>
      </c>
      <c r="J192" s="21">
        <v>62038</v>
      </c>
      <c r="L192" s="6">
        <f t="shared" si="14"/>
        <v>128866</v>
      </c>
      <c r="M192" s="7">
        <f t="shared" si="15"/>
        <v>127850</v>
      </c>
      <c r="N192" s="8">
        <f t="shared" si="16"/>
        <v>5569</v>
      </c>
      <c r="O192" s="9">
        <f t="shared" si="17"/>
        <v>2784.5</v>
      </c>
      <c r="P192" s="10">
        <f t="shared" si="18"/>
        <v>58474.5</v>
      </c>
      <c r="Q192" s="11">
        <f t="shared" si="19"/>
        <v>348.0625</v>
      </c>
      <c r="S192" s="19">
        <f t="shared" si="20"/>
        <v>1856.3333333333333</v>
      </c>
    </row>
    <row r="193" spans="1:19">
      <c r="A193" s="21" t="s">
        <v>296</v>
      </c>
      <c r="B193" s="21" t="s">
        <v>67</v>
      </c>
      <c r="C193" s="21" t="s">
        <v>33</v>
      </c>
      <c r="D193" s="21" t="s">
        <v>28</v>
      </c>
      <c r="E193" s="21">
        <v>43682</v>
      </c>
      <c r="F193" s="21">
        <v>8736</v>
      </c>
      <c r="G193" s="21">
        <v>1092</v>
      </c>
      <c r="H193" s="21">
        <v>5241</v>
      </c>
      <c r="I193" s="21">
        <v>671</v>
      </c>
      <c r="J193" s="21">
        <v>47598</v>
      </c>
      <c r="L193" s="6">
        <f t="shared" si="14"/>
        <v>100016</v>
      </c>
      <c r="M193" s="7">
        <f t="shared" si="15"/>
        <v>99345</v>
      </c>
      <c r="N193" s="8">
        <f t="shared" si="16"/>
        <v>4368.2</v>
      </c>
      <c r="O193" s="9">
        <f t="shared" si="17"/>
        <v>2184.1</v>
      </c>
      <c r="P193" s="10">
        <f t="shared" si="18"/>
        <v>45866.1</v>
      </c>
      <c r="Q193" s="11">
        <f t="shared" si="19"/>
        <v>273.01249999999999</v>
      </c>
      <c r="S193" s="19">
        <f t="shared" si="20"/>
        <v>1456.0666666666666</v>
      </c>
    </row>
    <row r="194" spans="1:19">
      <c r="A194" s="21" t="s">
        <v>297</v>
      </c>
      <c r="B194" s="21" t="s">
        <v>298</v>
      </c>
      <c r="C194" s="21" t="s">
        <v>49</v>
      </c>
      <c r="D194" s="21" t="s">
        <v>22</v>
      </c>
      <c r="E194" s="21">
        <v>45722</v>
      </c>
      <c r="F194" s="21">
        <v>9144</v>
      </c>
      <c r="G194" s="21">
        <v>1385</v>
      </c>
      <c r="H194" s="21">
        <v>5486</v>
      </c>
      <c r="I194" s="21">
        <v>2505</v>
      </c>
      <c r="J194" s="21">
        <v>48260</v>
      </c>
      <c r="L194" s="6">
        <f t="shared" si="14"/>
        <v>103126</v>
      </c>
      <c r="M194" s="7">
        <f t="shared" si="15"/>
        <v>100621</v>
      </c>
      <c r="N194" s="8">
        <f t="shared" si="16"/>
        <v>4572.2</v>
      </c>
      <c r="O194" s="9">
        <f t="shared" si="17"/>
        <v>2286.1</v>
      </c>
      <c r="P194" s="10">
        <f t="shared" si="18"/>
        <v>48008.1</v>
      </c>
      <c r="Q194" s="11">
        <f t="shared" si="19"/>
        <v>285.76249999999999</v>
      </c>
      <c r="S194" s="19">
        <f t="shared" si="20"/>
        <v>1524.0666666666666</v>
      </c>
    </row>
    <row r="195" spans="1:19">
      <c r="A195" s="21" t="s">
        <v>299</v>
      </c>
      <c r="B195" s="21" t="s">
        <v>135</v>
      </c>
      <c r="C195" s="21" t="s">
        <v>21</v>
      </c>
      <c r="D195" s="21" t="s">
        <v>28</v>
      </c>
      <c r="E195" s="21">
        <v>44736</v>
      </c>
      <c r="F195" s="21">
        <v>8947</v>
      </c>
      <c r="G195" s="21">
        <v>1993</v>
      </c>
      <c r="H195" s="21">
        <v>5368</v>
      </c>
      <c r="I195" s="21">
        <v>2662</v>
      </c>
      <c r="J195" s="21">
        <v>47646</v>
      </c>
      <c r="L195" s="6">
        <f t="shared" ref="L195:L201" si="21">E195+F195+J195</f>
        <v>101329</v>
      </c>
      <c r="M195" s="7">
        <f t="shared" ref="M195:M201" si="22">L195-I195</f>
        <v>98667</v>
      </c>
      <c r="N195" s="8">
        <f t="shared" ref="N195:N201" si="23">E195*10%</f>
        <v>4473.6000000000004</v>
      </c>
      <c r="O195" s="9">
        <f t="shared" ref="O195:O201" si="24">E195*5%</f>
        <v>2236.8000000000002</v>
      </c>
      <c r="P195" s="10">
        <f t="shared" ref="P195:P201" si="25">E195*1.05</f>
        <v>46972.800000000003</v>
      </c>
      <c r="Q195" s="11">
        <f t="shared" ref="Q195:Q201" si="26">E195/(40*4)</f>
        <v>279.60000000000002</v>
      </c>
      <c r="S195" s="19">
        <f t="shared" ref="S195:S201" si="27">E195/30</f>
        <v>1491.2</v>
      </c>
    </row>
    <row r="196" spans="1:19">
      <c r="A196" s="21" t="s">
        <v>300</v>
      </c>
      <c r="B196" s="21" t="s">
        <v>273</v>
      </c>
      <c r="C196" s="21" t="s">
        <v>33</v>
      </c>
      <c r="D196" s="21" t="s">
        <v>16</v>
      </c>
      <c r="E196" s="21">
        <v>20374</v>
      </c>
      <c r="F196" s="21">
        <v>4074</v>
      </c>
      <c r="G196" s="21">
        <v>3925</v>
      </c>
      <c r="H196" s="21">
        <v>2444</v>
      </c>
      <c r="I196" s="21">
        <v>1548</v>
      </c>
      <c r="J196" s="21">
        <v>24381</v>
      </c>
      <c r="L196" s="6">
        <f t="shared" si="21"/>
        <v>48829</v>
      </c>
      <c r="M196" s="7">
        <f t="shared" si="22"/>
        <v>47281</v>
      </c>
      <c r="N196" s="8">
        <f t="shared" si="23"/>
        <v>2037.4</v>
      </c>
      <c r="O196" s="9">
        <f t="shared" si="24"/>
        <v>1018.7</v>
      </c>
      <c r="P196" s="10">
        <f t="shared" si="25"/>
        <v>21392.7</v>
      </c>
      <c r="Q196" s="11">
        <f t="shared" si="26"/>
        <v>127.33750000000001</v>
      </c>
      <c r="S196" s="19">
        <f t="shared" si="27"/>
        <v>679.13333333333333</v>
      </c>
    </row>
    <row r="197" spans="1:19">
      <c r="A197" s="21" t="s">
        <v>301</v>
      </c>
      <c r="B197" s="21" t="s">
        <v>302</v>
      </c>
      <c r="C197" s="21" t="s">
        <v>21</v>
      </c>
      <c r="D197" s="21" t="s">
        <v>12</v>
      </c>
      <c r="E197" s="21">
        <v>23039</v>
      </c>
      <c r="F197" s="21">
        <v>4607</v>
      </c>
      <c r="G197" s="21">
        <v>2081</v>
      </c>
      <c r="H197" s="21">
        <v>2764</v>
      </c>
      <c r="I197" s="21">
        <v>1755</v>
      </c>
      <c r="J197" s="21">
        <v>25208</v>
      </c>
      <c r="L197" s="6">
        <f t="shared" si="21"/>
        <v>52854</v>
      </c>
      <c r="M197" s="7">
        <f t="shared" si="22"/>
        <v>51099</v>
      </c>
      <c r="N197" s="8">
        <f t="shared" si="23"/>
        <v>2303.9</v>
      </c>
      <c r="O197" s="9">
        <f t="shared" si="24"/>
        <v>1151.95</v>
      </c>
      <c r="P197" s="10">
        <f t="shared" si="25"/>
        <v>24190.95</v>
      </c>
      <c r="Q197" s="11">
        <f t="shared" si="26"/>
        <v>143.99375000000001</v>
      </c>
      <c r="S197" s="19">
        <f t="shared" si="27"/>
        <v>767.9666666666667</v>
      </c>
    </row>
    <row r="198" spans="1:19">
      <c r="A198" s="21" t="s">
        <v>303</v>
      </c>
      <c r="B198" s="21" t="s">
        <v>160</v>
      </c>
      <c r="C198" s="21" t="s">
        <v>33</v>
      </c>
      <c r="D198" s="21" t="s">
        <v>16</v>
      </c>
      <c r="E198" s="21">
        <v>36314</v>
      </c>
      <c r="F198" s="21">
        <v>7262</v>
      </c>
      <c r="G198" s="21">
        <v>1597</v>
      </c>
      <c r="H198" s="21">
        <v>4357</v>
      </c>
      <c r="I198" s="21">
        <v>653</v>
      </c>
      <c r="J198" s="21">
        <v>40163</v>
      </c>
      <c r="L198" s="6">
        <f t="shared" si="21"/>
        <v>83739</v>
      </c>
      <c r="M198" s="7">
        <f t="shared" si="22"/>
        <v>83086</v>
      </c>
      <c r="N198" s="8">
        <f t="shared" si="23"/>
        <v>3631.4</v>
      </c>
      <c r="O198" s="9">
        <f t="shared" si="24"/>
        <v>1815.7</v>
      </c>
      <c r="P198" s="10">
        <f t="shared" si="25"/>
        <v>38129.700000000004</v>
      </c>
      <c r="Q198" s="11">
        <f t="shared" si="26"/>
        <v>226.96250000000001</v>
      </c>
      <c r="S198" s="19">
        <f t="shared" si="27"/>
        <v>1210.4666666666667</v>
      </c>
    </row>
    <row r="199" spans="1:19">
      <c r="A199" s="21" t="s">
        <v>304</v>
      </c>
      <c r="B199" s="21" t="s">
        <v>204</v>
      </c>
      <c r="C199" s="21" t="s">
        <v>15</v>
      </c>
      <c r="D199" s="21" t="s">
        <v>12</v>
      </c>
      <c r="E199" s="21">
        <v>29950</v>
      </c>
      <c r="F199" s="21">
        <v>5990</v>
      </c>
      <c r="G199" s="21">
        <v>4887</v>
      </c>
      <c r="H199" s="21">
        <v>3594</v>
      </c>
      <c r="I199" s="21">
        <v>808</v>
      </c>
      <c r="J199" s="21">
        <v>36425</v>
      </c>
      <c r="L199" s="6">
        <f t="shared" si="21"/>
        <v>72365</v>
      </c>
      <c r="M199" s="7">
        <f t="shared" si="22"/>
        <v>71557</v>
      </c>
      <c r="N199" s="8">
        <f t="shared" si="23"/>
        <v>2995</v>
      </c>
      <c r="O199" s="9">
        <f t="shared" si="24"/>
        <v>1497.5</v>
      </c>
      <c r="P199" s="10">
        <f t="shared" si="25"/>
        <v>31447.5</v>
      </c>
      <c r="Q199" s="11">
        <f t="shared" si="26"/>
        <v>187.1875</v>
      </c>
      <c r="S199" s="19">
        <f t="shared" si="27"/>
        <v>998.33333333333337</v>
      </c>
    </row>
    <row r="200" spans="1:19">
      <c r="A200" s="21" t="s">
        <v>305</v>
      </c>
      <c r="B200" s="21" t="s">
        <v>97</v>
      </c>
      <c r="C200" s="21" t="s">
        <v>49</v>
      </c>
      <c r="D200" s="21" t="s">
        <v>28</v>
      </c>
      <c r="E200" s="21">
        <v>40190</v>
      </c>
      <c r="F200" s="21">
        <v>8038</v>
      </c>
      <c r="G200" s="21">
        <v>1945</v>
      </c>
      <c r="H200" s="21">
        <v>4822</v>
      </c>
      <c r="I200" s="21">
        <v>2466</v>
      </c>
      <c r="J200" s="21">
        <v>42885</v>
      </c>
      <c r="L200" s="6">
        <f t="shared" si="21"/>
        <v>91113</v>
      </c>
      <c r="M200" s="7">
        <f t="shared" si="22"/>
        <v>88647</v>
      </c>
      <c r="N200" s="8">
        <f t="shared" si="23"/>
        <v>4019</v>
      </c>
      <c r="O200" s="9">
        <f t="shared" si="24"/>
        <v>2009.5</v>
      </c>
      <c r="P200" s="10">
        <f t="shared" si="25"/>
        <v>42199.5</v>
      </c>
      <c r="Q200" s="11">
        <f t="shared" si="26"/>
        <v>251.1875</v>
      </c>
      <c r="S200" s="19">
        <f t="shared" si="27"/>
        <v>1339.6666666666667</v>
      </c>
    </row>
    <row r="201" spans="1:19">
      <c r="A201" s="21" t="s">
        <v>306</v>
      </c>
      <c r="B201" s="21" t="s">
        <v>104</v>
      </c>
      <c r="C201" s="21" t="s">
        <v>21</v>
      </c>
      <c r="D201" s="21" t="s">
        <v>22</v>
      </c>
      <c r="E201" s="21">
        <v>40021</v>
      </c>
      <c r="F201" s="21">
        <v>8004</v>
      </c>
      <c r="G201" s="21">
        <v>2799</v>
      </c>
      <c r="H201" s="21">
        <v>4802</v>
      </c>
      <c r="I201" s="21">
        <v>509</v>
      </c>
      <c r="J201" s="21">
        <v>45513</v>
      </c>
      <c r="L201" s="6">
        <f t="shared" si="21"/>
        <v>93538</v>
      </c>
      <c r="M201" s="7">
        <f t="shared" si="22"/>
        <v>93029</v>
      </c>
      <c r="N201" s="8">
        <f t="shared" si="23"/>
        <v>4002.1000000000004</v>
      </c>
      <c r="O201" s="9">
        <f t="shared" si="24"/>
        <v>2001.0500000000002</v>
      </c>
      <c r="P201" s="10">
        <f t="shared" si="25"/>
        <v>42022.05</v>
      </c>
      <c r="Q201" s="11">
        <f t="shared" si="26"/>
        <v>250.13124999999999</v>
      </c>
      <c r="S201" s="20">
        <f t="shared" si="27"/>
        <v>1334.0333333333333</v>
      </c>
    </row>
  </sheetData>
  <mergeCells count="16">
    <mergeCell ref="Z19:AF19"/>
    <mergeCell ref="Z4:AF4"/>
    <mergeCell ref="AB5:AC5"/>
    <mergeCell ref="Z7:AF7"/>
    <mergeCell ref="AB8:AC8"/>
    <mergeCell ref="Z10:AF10"/>
    <mergeCell ref="AB11:AC11"/>
    <mergeCell ref="Z13:AF13"/>
    <mergeCell ref="AB14:AC14"/>
    <mergeCell ref="Z16:AF16"/>
    <mergeCell ref="AB17:AC17"/>
    <mergeCell ref="AB20:AC20"/>
    <mergeCell ref="Z22:AF22"/>
    <mergeCell ref="AB23:AC23"/>
    <mergeCell ref="Z25:AF25"/>
    <mergeCell ref="AB26:AC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1"/>
  <sheetViews>
    <sheetView workbookViewId="0">
      <selection activeCell="B2" sqref="B2"/>
    </sheetView>
  </sheetViews>
  <sheetFormatPr defaultRowHeight="14.4"/>
  <cols>
    <col min="2" max="2" width="15" bestFit="1" customWidth="1"/>
    <col min="3" max="3" width="10.77734375" bestFit="1" customWidth="1"/>
    <col min="4" max="4" width="14.44140625" bestFit="1" customWidth="1"/>
    <col min="5" max="5" width="11.109375" bestFit="1" customWidth="1"/>
    <col min="14" max="14" width="11.77734375" bestFit="1" customWidth="1"/>
    <col min="15" max="15" width="15" bestFit="1" customWidth="1"/>
  </cols>
  <sheetData>
    <row r="1" spans="1:17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307</v>
      </c>
    </row>
    <row r="2" spans="1:17">
      <c r="A2" s="42" t="s">
        <v>9</v>
      </c>
      <c r="B2" s="42" t="s">
        <v>10</v>
      </c>
      <c r="C2" s="42" t="s">
        <v>11</v>
      </c>
      <c r="D2" s="42" t="s">
        <v>12</v>
      </c>
      <c r="E2" s="42">
        <v>26626</v>
      </c>
      <c r="F2" s="42">
        <v>5325</v>
      </c>
      <c r="G2" s="42">
        <v>2857</v>
      </c>
      <c r="H2" s="42">
        <v>3195</v>
      </c>
      <c r="I2" s="42">
        <v>589</v>
      </c>
      <c r="J2" s="42">
        <v>31024</v>
      </c>
    </row>
    <row r="3" spans="1:17">
      <c r="A3" s="42" t="s">
        <v>13</v>
      </c>
      <c r="B3" s="42" t="s">
        <v>14</v>
      </c>
      <c r="C3" s="42" t="s">
        <v>15</v>
      </c>
      <c r="D3" s="42" t="s">
        <v>16</v>
      </c>
      <c r="E3" s="42">
        <v>45503</v>
      </c>
      <c r="F3" s="42">
        <v>9100</v>
      </c>
      <c r="G3" s="42">
        <v>1843</v>
      </c>
      <c r="H3" s="42">
        <v>5460</v>
      </c>
      <c r="I3" s="42">
        <v>1552</v>
      </c>
      <c r="J3" s="42">
        <v>49434</v>
      </c>
    </row>
    <row r="4" spans="1:17">
      <c r="A4" s="42" t="s">
        <v>17</v>
      </c>
      <c r="B4" s="42" t="s">
        <v>18</v>
      </c>
      <c r="C4" s="42" t="s">
        <v>11</v>
      </c>
      <c r="D4" s="42" t="s">
        <v>16</v>
      </c>
      <c r="E4" s="42">
        <v>53938</v>
      </c>
      <c r="F4" s="42">
        <v>10787</v>
      </c>
      <c r="G4" s="42">
        <v>4851</v>
      </c>
      <c r="H4" s="42">
        <v>6472</v>
      </c>
      <c r="I4" s="42">
        <v>2058</v>
      </c>
      <c r="J4" s="42">
        <v>61046</v>
      </c>
    </row>
    <row r="5" spans="1:17">
      <c r="A5" s="42" t="s">
        <v>19</v>
      </c>
      <c r="B5" s="42" t="s">
        <v>20</v>
      </c>
      <c r="C5" s="42" t="s">
        <v>21</v>
      </c>
      <c r="D5" s="42" t="s">
        <v>22</v>
      </c>
      <c r="E5" s="42">
        <v>55165</v>
      </c>
      <c r="F5" s="42">
        <v>11033</v>
      </c>
      <c r="G5" s="42">
        <v>4218</v>
      </c>
      <c r="H5" s="42">
        <v>6619</v>
      </c>
      <c r="I5" s="42">
        <v>2129</v>
      </c>
      <c r="J5" s="42">
        <v>61668</v>
      </c>
      <c r="M5" s="69" t="s">
        <v>330</v>
      </c>
      <c r="N5" s="69"/>
      <c r="O5" s="69"/>
      <c r="P5" s="69"/>
      <c r="Q5" s="69"/>
    </row>
    <row r="6" spans="1:17">
      <c r="A6" s="42" t="s">
        <v>23</v>
      </c>
      <c r="B6" s="42" t="s">
        <v>24</v>
      </c>
      <c r="C6" s="42" t="s">
        <v>25</v>
      </c>
      <c r="D6" s="42" t="s">
        <v>12</v>
      </c>
      <c r="E6" s="42">
        <v>42292</v>
      </c>
      <c r="F6" s="42">
        <v>8458</v>
      </c>
      <c r="G6" s="42">
        <v>3707</v>
      </c>
      <c r="H6" s="42">
        <v>5075</v>
      </c>
      <c r="I6" s="42">
        <v>1107</v>
      </c>
      <c r="J6" s="42">
        <v>48275</v>
      </c>
      <c r="N6" s="45"/>
      <c r="O6" s="45"/>
      <c r="P6" s="45"/>
    </row>
    <row r="7" spans="1:17">
      <c r="A7" s="42" t="s">
        <v>26</v>
      </c>
      <c r="B7" s="42" t="s">
        <v>27</v>
      </c>
      <c r="C7" s="42" t="s">
        <v>21</v>
      </c>
      <c r="D7" s="42" t="s">
        <v>28</v>
      </c>
      <c r="E7" s="42">
        <v>15728</v>
      </c>
      <c r="F7" s="42">
        <v>3145</v>
      </c>
      <c r="G7" s="42">
        <v>2392</v>
      </c>
      <c r="H7" s="42">
        <v>1887</v>
      </c>
      <c r="I7" s="42">
        <v>1556</v>
      </c>
      <c r="J7" s="42">
        <v>17822</v>
      </c>
      <c r="N7" s="41" t="s">
        <v>0</v>
      </c>
      <c r="O7" s="41" t="s">
        <v>1</v>
      </c>
    </row>
    <row r="8" spans="1:17">
      <c r="A8" s="42" t="s">
        <v>29</v>
      </c>
      <c r="B8" s="42" t="s">
        <v>30</v>
      </c>
      <c r="C8" s="42" t="s">
        <v>15</v>
      </c>
      <c r="D8" s="42" t="s">
        <v>28</v>
      </c>
      <c r="E8" s="42">
        <v>24044</v>
      </c>
      <c r="F8" s="42">
        <v>4808</v>
      </c>
      <c r="G8" s="42">
        <v>2353</v>
      </c>
      <c r="H8" s="42">
        <v>2885</v>
      </c>
      <c r="I8" s="42">
        <v>1826</v>
      </c>
      <c r="J8" s="42">
        <v>26494</v>
      </c>
      <c r="N8" t="s">
        <v>31</v>
      </c>
      <c r="O8" t="str">
        <f>VLOOKUP(N8,A:J,2,FALSE)</f>
        <v>Rahul Roy</v>
      </c>
    </row>
    <row r="9" spans="1:17">
      <c r="A9" s="42" t="s">
        <v>31</v>
      </c>
      <c r="B9" s="42" t="s">
        <v>32</v>
      </c>
      <c r="C9" s="42" t="s">
        <v>33</v>
      </c>
      <c r="D9" s="42" t="s">
        <v>16</v>
      </c>
      <c r="E9" s="42">
        <v>36407</v>
      </c>
      <c r="F9" s="42">
        <v>7281</v>
      </c>
      <c r="G9" s="42">
        <v>1132</v>
      </c>
      <c r="H9" s="42">
        <v>4368</v>
      </c>
      <c r="I9" s="42">
        <v>1272</v>
      </c>
      <c r="J9" s="42">
        <v>39180</v>
      </c>
      <c r="M9" s="45"/>
      <c r="N9" s="45"/>
      <c r="O9" s="45"/>
      <c r="P9" s="45"/>
      <c r="Q9" s="45"/>
    </row>
    <row r="10" spans="1:17">
      <c r="A10" s="42" t="s">
        <v>34</v>
      </c>
      <c r="B10" s="42" t="s">
        <v>35</v>
      </c>
      <c r="C10" s="42" t="s">
        <v>21</v>
      </c>
      <c r="D10" s="42" t="s">
        <v>36</v>
      </c>
      <c r="E10" s="42">
        <v>18268</v>
      </c>
      <c r="F10" s="42">
        <v>3653</v>
      </c>
      <c r="G10" s="42">
        <v>4479</v>
      </c>
      <c r="H10" s="42">
        <v>2192</v>
      </c>
      <c r="I10" s="42">
        <v>2026</v>
      </c>
      <c r="J10" s="42">
        <v>22182</v>
      </c>
    </row>
    <row r="11" spans="1:17">
      <c r="A11" s="42" t="s">
        <v>37</v>
      </c>
      <c r="B11" s="42" t="s">
        <v>38</v>
      </c>
      <c r="C11" s="42" t="s">
        <v>21</v>
      </c>
      <c r="D11" s="42" t="s">
        <v>12</v>
      </c>
      <c r="E11" s="42">
        <v>44721</v>
      </c>
      <c r="F11" s="42">
        <v>8944</v>
      </c>
      <c r="G11" s="42">
        <v>3217</v>
      </c>
      <c r="H11" s="42">
        <v>5366</v>
      </c>
      <c r="I11" s="42">
        <v>2620</v>
      </c>
      <c r="J11" s="42">
        <v>48896</v>
      </c>
      <c r="M11" s="70" t="s">
        <v>331</v>
      </c>
      <c r="N11" s="70"/>
      <c r="O11" s="70"/>
      <c r="P11" s="70"/>
      <c r="Q11" s="70"/>
    </row>
    <row r="12" spans="1:17">
      <c r="A12" s="42" t="s">
        <v>39</v>
      </c>
      <c r="B12" s="42" t="s">
        <v>40</v>
      </c>
      <c r="C12" s="42" t="s">
        <v>15</v>
      </c>
      <c r="D12" s="42" t="s">
        <v>12</v>
      </c>
      <c r="E12" s="42">
        <v>54259</v>
      </c>
      <c r="F12" s="42">
        <v>10851</v>
      </c>
      <c r="G12" s="42">
        <v>1009</v>
      </c>
      <c r="H12" s="42">
        <v>6511</v>
      </c>
      <c r="I12" s="42">
        <v>2363</v>
      </c>
      <c r="J12" s="42">
        <v>57245</v>
      </c>
      <c r="N12" s="41" t="s">
        <v>0</v>
      </c>
      <c r="O12" s="41" t="s">
        <v>307</v>
      </c>
    </row>
    <row r="13" spans="1:17">
      <c r="A13" s="42" t="s">
        <v>41</v>
      </c>
      <c r="B13" s="42" t="s">
        <v>42</v>
      </c>
      <c r="C13" s="42" t="s">
        <v>21</v>
      </c>
      <c r="D13" s="42" t="s">
        <v>16</v>
      </c>
      <c r="E13" s="42">
        <v>44325</v>
      </c>
      <c r="F13" s="42">
        <v>8865</v>
      </c>
      <c r="G13" s="42">
        <v>1916</v>
      </c>
      <c r="H13" s="42">
        <v>5319</v>
      </c>
      <c r="I13" s="42">
        <v>886</v>
      </c>
      <c r="J13" s="42">
        <v>48901</v>
      </c>
      <c r="N13" t="s">
        <v>205</v>
      </c>
      <c r="O13">
        <f>VLOOKUP(N13,A:J,10,FALSE)</f>
        <v>61877</v>
      </c>
    </row>
    <row r="14" spans="1:17">
      <c r="A14" s="42" t="s">
        <v>43</v>
      </c>
      <c r="B14" s="42" t="s">
        <v>44</v>
      </c>
      <c r="C14" s="42" t="s">
        <v>33</v>
      </c>
      <c r="D14" s="42" t="s">
        <v>22</v>
      </c>
      <c r="E14" s="42">
        <v>50686</v>
      </c>
      <c r="F14" s="42">
        <v>10137</v>
      </c>
      <c r="G14" s="42">
        <v>2700</v>
      </c>
      <c r="H14" s="42">
        <v>6082</v>
      </c>
      <c r="I14" s="42">
        <v>1471</v>
      </c>
      <c r="J14" s="42">
        <v>55970</v>
      </c>
    </row>
    <row r="15" spans="1:17">
      <c r="A15" s="42" t="s">
        <v>45</v>
      </c>
      <c r="B15" s="42" t="s">
        <v>46</v>
      </c>
      <c r="C15" s="42" t="s">
        <v>15</v>
      </c>
      <c r="D15" s="42" t="s">
        <v>16</v>
      </c>
      <c r="E15" s="42">
        <v>21346</v>
      </c>
      <c r="F15" s="42">
        <v>4269</v>
      </c>
      <c r="G15" s="42">
        <v>4073</v>
      </c>
      <c r="H15" s="42">
        <v>2561</v>
      </c>
      <c r="I15" s="42">
        <v>2792</v>
      </c>
      <c r="J15" s="42">
        <v>24335</v>
      </c>
    </row>
    <row r="16" spans="1:17">
      <c r="A16" s="42" t="s">
        <v>47</v>
      </c>
      <c r="B16" s="42" t="s">
        <v>48</v>
      </c>
      <c r="C16" s="42" t="s">
        <v>49</v>
      </c>
      <c r="D16" s="42" t="s">
        <v>28</v>
      </c>
      <c r="E16" s="42">
        <v>44944</v>
      </c>
      <c r="F16" s="42">
        <v>8988</v>
      </c>
      <c r="G16" s="42">
        <v>4629</v>
      </c>
      <c r="H16" s="42">
        <v>5393</v>
      </c>
      <c r="I16" s="42">
        <v>2498</v>
      </c>
      <c r="J16" s="42">
        <v>50670</v>
      </c>
      <c r="M16" s="71" t="s">
        <v>333</v>
      </c>
      <c r="N16" s="71"/>
      <c r="O16" s="71"/>
      <c r="P16" s="71"/>
      <c r="Q16" s="71"/>
    </row>
    <row r="17" spans="1:17">
      <c r="A17" s="42" t="s">
        <v>50</v>
      </c>
      <c r="B17" s="42" t="s">
        <v>51</v>
      </c>
      <c r="C17" s="42" t="s">
        <v>11</v>
      </c>
      <c r="D17" s="42" t="s">
        <v>36</v>
      </c>
      <c r="E17" s="42">
        <v>18649</v>
      </c>
      <c r="F17" s="42">
        <v>3729</v>
      </c>
      <c r="G17" s="42">
        <v>3494</v>
      </c>
      <c r="H17" s="42">
        <v>2237</v>
      </c>
      <c r="I17" s="42">
        <v>1826</v>
      </c>
      <c r="J17" s="42">
        <v>21809</v>
      </c>
      <c r="N17" s="46"/>
      <c r="O17" s="47">
        <f>MATCH("EMP015",A2:A201,0)</f>
        <v>15</v>
      </c>
    </row>
    <row r="18" spans="1:17">
      <c r="A18" s="42" t="s">
        <v>52</v>
      </c>
      <c r="B18" s="42" t="s">
        <v>35</v>
      </c>
      <c r="C18" s="42" t="s">
        <v>11</v>
      </c>
      <c r="D18" s="42" t="s">
        <v>16</v>
      </c>
      <c r="E18" s="42">
        <v>53156</v>
      </c>
      <c r="F18" s="42">
        <v>10631</v>
      </c>
      <c r="G18" s="42">
        <v>4251</v>
      </c>
      <c r="H18" s="42">
        <v>6378</v>
      </c>
      <c r="I18" s="42">
        <v>2976</v>
      </c>
      <c r="J18" s="42">
        <v>58684</v>
      </c>
      <c r="N18" s="12"/>
      <c r="O18" s="46"/>
    </row>
    <row r="19" spans="1:17">
      <c r="A19" s="42" t="s">
        <v>53</v>
      </c>
      <c r="B19" s="42" t="s">
        <v>54</v>
      </c>
      <c r="C19" s="42" t="s">
        <v>33</v>
      </c>
      <c r="D19" s="42" t="s">
        <v>36</v>
      </c>
      <c r="E19" s="42">
        <v>59466</v>
      </c>
      <c r="F19" s="42">
        <v>11893</v>
      </c>
      <c r="G19" s="42">
        <v>2332</v>
      </c>
      <c r="H19" s="42">
        <v>7135</v>
      </c>
      <c r="I19" s="42">
        <v>1604</v>
      </c>
      <c r="J19" s="42">
        <v>64952</v>
      </c>
    </row>
    <row r="20" spans="1:17">
      <c r="A20" s="42" t="s">
        <v>55</v>
      </c>
      <c r="B20" s="42" t="s">
        <v>56</v>
      </c>
      <c r="C20" s="42" t="s">
        <v>33</v>
      </c>
      <c r="D20" s="42" t="s">
        <v>12</v>
      </c>
      <c r="E20" s="42">
        <v>52561</v>
      </c>
      <c r="F20" s="42">
        <v>10512</v>
      </c>
      <c r="G20" s="42">
        <v>1437</v>
      </c>
      <c r="H20" s="42">
        <v>6307</v>
      </c>
      <c r="I20" s="42">
        <v>2006</v>
      </c>
      <c r="J20" s="42">
        <v>56197</v>
      </c>
      <c r="M20" s="72" t="s">
        <v>332</v>
      </c>
      <c r="N20" s="72"/>
      <c r="O20" s="72"/>
      <c r="P20" s="72"/>
      <c r="Q20" s="72"/>
    </row>
    <row r="21" spans="1:17">
      <c r="A21" s="42" t="s">
        <v>57</v>
      </c>
      <c r="B21" s="42" t="s">
        <v>58</v>
      </c>
      <c r="C21" s="42" t="s">
        <v>25</v>
      </c>
      <c r="D21" s="42" t="s">
        <v>12</v>
      </c>
      <c r="E21" s="42">
        <v>59566</v>
      </c>
      <c r="F21" s="42">
        <v>11913</v>
      </c>
      <c r="G21" s="42">
        <v>2393</v>
      </c>
      <c r="H21" s="42">
        <v>7147</v>
      </c>
      <c r="I21" s="42">
        <v>2473</v>
      </c>
      <c r="J21" s="42">
        <v>64252</v>
      </c>
      <c r="O21" s="48">
        <f>INDEX(J2:J201,5)</f>
        <v>48275</v>
      </c>
    </row>
    <row r="22" spans="1:17">
      <c r="A22" s="42" t="s">
        <v>59</v>
      </c>
      <c r="B22" s="42" t="s">
        <v>60</v>
      </c>
      <c r="C22" s="42" t="s">
        <v>33</v>
      </c>
      <c r="D22" s="42" t="s">
        <v>16</v>
      </c>
      <c r="E22" s="42">
        <v>58194</v>
      </c>
      <c r="F22" s="42">
        <v>11638</v>
      </c>
      <c r="G22" s="42">
        <v>3214</v>
      </c>
      <c r="H22" s="42">
        <v>6983</v>
      </c>
      <c r="I22" s="42">
        <v>2659</v>
      </c>
      <c r="J22" s="42">
        <v>63404</v>
      </c>
    </row>
    <row r="23" spans="1:17">
      <c r="A23" s="42" t="s">
        <v>61</v>
      </c>
      <c r="B23" s="42" t="s">
        <v>62</v>
      </c>
      <c r="C23" s="42" t="s">
        <v>11</v>
      </c>
      <c r="D23" s="42" t="s">
        <v>36</v>
      </c>
      <c r="E23" s="42">
        <v>28614</v>
      </c>
      <c r="F23" s="42">
        <v>5722</v>
      </c>
      <c r="G23" s="42">
        <v>4201</v>
      </c>
      <c r="H23" s="42">
        <v>3433</v>
      </c>
      <c r="I23" s="42">
        <v>900</v>
      </c>
      <c r="J23" s="42">
        <v>34204</v>
      </c>
    </row>
    <row r="24" spans="1:17">
      <c r="A24" s="42" t="s">
        <v>63</v>
      </c>
      <c r="B24" s="42" t="s">
        <v>64</v>
      </c>
      <c r="C24" s="42" t="s">
        <v>21</v>
      </c>
      <c r="D24" s="42" t="s">
        <v>22</v>
      </c>
      <c r="E24" s="42">
        <v>57939</v>
      </c>
      <c r="F24" s="42">
        <v>11587</v>
      </c>
      <c r="G24" s="42">
        <v>2009</v>
      </c>
      <c r="H24" s="42">
        <v>6952</v>
      </c>
      <c r="I24" s="42">
        <v>2705</v>
      </c>
      <c r="J24" s="42">
        <v>61878</v>
      </c>
      <c r="M24" s="67"/>
      <c r="N24" s="67"/>
      <c r="O24" s="67"/>
      <c r="P24" s="67"/>
      <c r="Q24" s="67"/>
    </row>
    <row r="25" spans="1:17">
      <c r="A25" s="42" t="s">
        <v>65</v>
      </c>
      <c r="B25" s="42" t="s">
        <v>44</v>
      </c>
      <c r="C25" s="42" t="s">
        <v>11</v>
      </c>
      <c r="D25" s="42" t="s">
        <v>36</v>
      </c>
      <c r="E25" s="42">
        <v>30807</v>
      </c>
      <c r="F25" s="42">
        <v>6161</v>
      </c>
      <c r="G25" s="42">
        <v>4281</v>
      </c>
      <c r="H25" s="42">
        <v>3696</v>
      </c>
      <c r="I25" s="42">
        <v>2285</v>
      </c>
      <c r="J25" s="42">
        <v>35268</v>
      </c>
      <c r="N25" s="68" t="s">
        <v>334</v>
      </c>
      <c r="O25" s="68"/>
    </row>
    <row r="26" spans="1:17">
      <c r="A26" s="42" t="s">
        <v>66</v>
      </c>
      <c r="B26" s="42" t="s">
        <v>67</v>
      </c>
      <c r="C26" s="42" t="s">
        <v>15</v>
      </c>
      <c r="D26" s="42" t="s">
        <v>16</v>
      </c>
      <c r="E26" s="42">
        <v>42127</v>
      </c>
      <c r="F26" s="42">
        <v>8425</v>
      </c>
      <c r="G26" s="42">
        <v>2541</v>
      </c>
      <c r="H26" s="42">
        <v>5055</v>
      </c>
      <c r="I26" s="42">
        <v>2058</v>
      </c>
      <c r="J26" s="42">
        <v>45980</v>
      </c>
      <c r="N26" s="41" t="s">
        <v>0</v>
      </c>
      <c r="O26" s="41" t="s">
        <v>4</v>
      </c>
    </row>
    <row r="27" spans="1:17">
      <c r="A27" s="42" t="s">
        <v>68</v>
      </c>
      <c r="B27" s="42" t="s">
        <v>69</v>
      </c>
      <c r="C27" s="42" t="s">
        <v>33</v>
      </c>
      <c r="D27" s="42" t="s">
        <v>36</v>
      </c>
      <c r="E27" s="42">
        <v>56883</v>
      </c>
      <c r="F27" s="42">
        <v>11376</v>
      </c>
      <c r="G27" s="42">
        <v>2773</v>
      </c>
      <c r="H27" s="42">
        <v>6825</v>
      </c>
      <c r="I27" s="42">
        <v>2679</v>
      </c>
      <c r="J27" s="42">
        <v>61528</v>
      </c>
      <c r="N27" t="s">
        <v>199</v>
      </c>
      <c r="O27">
        <f>INDEX(E2:E201,MATCH(N27,A2:A201,0))</f>
        <v>42998</v>
      </c>
    </row>
    <row r="28" spans="1:17">
      <c r="A28" s="42" t="s">
        <v>70</v>
      </c>
      <c r="B28" s="42" t="s">
        <v>71</v>
      </c>
      <c r="C28" s="42" t="s">
        <v>11</v>
      </c>
      <c r="D28" s="42" t="s">
        <v>28</v>
      </c>
      <c r="E28" s="42">
        <v>58854</v>
      </c>
      <c r="F28" s="42">
        <v>11770</v>
      </c>
      <c r="G28" s="42">
        <v>2337</v>
      </c>
      <c r="H28" s="42">
        <v>7062</v>
      </c>
      <c r="I28" s="42">
        <v>1153</v>
      </c>
      <c r="J28" s="42">
        <v>64746</v>
      </c>
    </row>
    <row r="29" spans="1:17">
      <c r="A29" s="42" t="s">
        <v>72</v>
      </c>
      <c r="B29" s="42" t="s">
        <v>73</v>
      </c>
      <c r="C29" s="42" t="s">
        <v>15</v>
      </c>
      <c r="D29" s="42" t="s">
        <v>28</v>
      </c>
      <c r="E29" s="42">
        <v>19071</v>
      </c>
      <c r="F29" s="42">
        <v>3814</v>
      </c>
      <c r="G29" s="42">
        <v>4441</v>
      </c>
      <c r="H29" s="42">
        <v>2288</v>
      </c>
      <c r="I29" s="42">
        <v>1464</v>
      </c>
      <c r="J29" s="42">
        <v>23574</v>
      </c>
    </row>
    <row r="30" spans="1:17">
      <c r="A30" s="42" t="s">
        <v>74</v>
      </c>
      <c r="B30" s="42" t="s">
        <v>62</v>
      </c>
      <c r="C30" s="42" t="s">
        <v>49</v>
      </c>
      <c r="D30" s="42" t="s">
        <v>36</v>
      </c>
      <c r="E30" s="42">
        <v>18278</v>
      </c>
      <c r="F30" s="42">
        <v>3655</v>
      </c>
      <c r="G30" s="42">
        <v>4149</v>
      </c>
      <c r="H30" s="42">
        <v>2193</v>
      </c>
      <c r="I30" s="42">
        <v>1944</v>
      </c>
      <c r="J30" s="42">
        <v>21945</v>
      </c>
    </row>
    <row r="31" spans="1:17">
      <c r="A31" s="42" t="s">
        <v>75</v>
      </c>
      <c r="B31" s="42" t="s">
        <v>64</v>
      </c>
      <c r="C31" s="42" t="s">
        <v>33</v>
      </c>
      <c r="D31" s="42" t="s">
        <v>36</v>
      </c>
      <c r="E31" s="42">
        <v>17050</v>
      </c>
      <c r="F31" s="42">
        <v>3410</v>
      </c>
      <c r="G31" s="42">
        <v>2485</v>
      </c>
      <c r="H31" s="42">
        <v>2046</v>
      </c>
      <c r="I31" s="42">
        <v>1141</v>
      </c>
      <c r="J31" s="42">
        <v>19758</v>
      </c>
    </row>
    <row r="32" spans="1:17">
      <c r="A32" s="42" t="s">
        <v>76</v>
      </c>
      <c r="B32" s="42" t="s">
        <v>77</v>
      </c>
      <c r="C32" s="42" t="s">
        <v>15</v>
      </c>
      <c r="D32" s="42" t="s">
        <v>12</v>
      </c>
      <c r="E32" s="42">
        <v>51234</v>
      </c>
      <c r="F32" s="42">
        <v>10246</v>
      </c>
      <c r="G32" s="42">
        <v>3535</v>
      </c>
      <c r="H32" s="42">
        <v>6148</v>
      </c>
      <c r="I32" s="42">
        <v>2453</v>
      </c>
      <c r="J32" s="42">
        <v>56414</v>
      </c>
    </row>
    <row r="33" spans="1:10">
      <c r="A33" s="42" t="s">
        <v>78</v>
      </c>
      <c r="B33" s="42" t="s">
        <v>79</v>
      </c>
      <c r="C33" s="42" t="s">
        <v>49</v>
      </c>
      <c r="D33" s="42" t="s">
        <v>36</v>
      </c>
      <c r="E33" s="42">
        <v>51981</v>
      </c>
      <c r="F33" s="42">
        <v>10396</v>
      </c>
      <c r="G33" s="42">
        <v>1887</v>
      </c>
      <c r="H33" s="42">
        <v>6237</v>
      </c>
      <c r="I33" s="42">
        <v>1021</v>
      </c>
      <c r="J33" s="42">
        <v>57006</v>
      </c>
    </row>
    <row r="34" spans="1:10">
      <c r="A34" s="42" t="s">
        <v>80</v>
      </c>
      <c r="B34" s="42" t="s">
        <v>81</v>
      </c>
      <c r="C34" s="42" t="s">
        <v>25</v>
      </c>
      <c r="D34" s="42" t="s">
        <v>28</v>
      </c>
      <c r="E34" s="42">
        <v>41660</v>
      </c>
      <c r="F34" s="42">
        <v>8332</v>
      </c>
      <c r="G34" s="42">
        <v>4060</v>
      </c>
      <c r="H34" s="42">
        <v>4999</v>
      </c>
      <c r="I34" s="42">
        <v>2211</v>
      </c>
      <c r="J34" s="42">
        <v>46842</v>
      </c>
    </row>
    <row r="35" spans="1:10">
      <c r="A35" s="42" t="s">
        <v>82</v>
      </c>
      <c r="B35" s="42" t="s">
        <v>83</v>
      </c>
      <c r="C35" s="42" t="s">
        <v>49</v>
      </c>
      <c r="D35" s="42" t="s">
        <v>16</v>
      </c>
      <c r="E35" s="42">
        <v>20162</v>
      </c>
      <c r="F35" s="42">
        <v>4032</v>
      </c>
      <c r="G35" s="42">
        <v>4304</v>
      </c>
      <c r="H35" s="42">
        <v>2419</v>
      </c>
      <c r="I35" s="42">
        <v>1175</v>
      </c>
      <c r="J35" s="42">
        <v>24904</v>
      </c>
    </row>
    <row r="36" spans="1:10">
      <c r="A36" s="42" t="s">
        <v>84</v>
      </c>
      <c r="B36" s="42" t="s">
        <v>85</v>
      </c>
      <c r="C36" s="42" t="s">
        <v>15</v>
      </c>
      <c r="D36" s="42" t="s">
        <v>28</v>
      </c>
      <c r="E36" s="42">
        <v>32418</v>
      </c>
      <c r="F36" s="42">
        <v>6483</v>
      </c>
      <c r="G36" s="42">
        <v>4095</v>
      </c>
      <c r="H36" s="42">
        <v>3890</v>
      </c>
      <c r="I36" s="42">
        <v>860</v>
      </c>
      <c r="J36" s="42">
        <v>38246</v>
      </c>
    </row>
    <row r="37" spans="1:10">
      <c r="A37" s="42" t="s">
        <v>86</v>
      </c>
      <c r="B37" s="42" t="s">
        <v>87</v>
      </c>
      <c r="C37" s="42" t="s">
        <v>15</v>
      </c>
      <c r="D37" s="42" t="s">
        <v>16</v>
      </c>
      <c r="E37" s="42">
        <v>54719</v>
      </c>
      <c r="F37" s="42">
        <v>10943</v>
      </c>
      <c r="G37" s="42">
        <v>2180</v>
      </c>
      <c r="H37" s="42">
        <v>6566</v>
      </c>
      <c r="I37" s="42">
        <v>2410</v>
      </c>
      <c r="J37" s="42">
        <v>58866</v>
      </c>
    </row>
    <row r="38" spans="1:10">
      <c r="A38" s="42" t="s">
        <v>88</v>
      </c>
      <c r="B38" s="42" t="s">
        <v>30</v>
      </c>
      <c r="C38" s="42" t="s">
        <v>21</v>
      </c>
      <c r="D38" s="42" t="s">
        <v>28</v>
      </c>
      <c r="E38" s="42">
        <v>48630</v>
      </c>
      <c r="F38" s="42">
        <v>9726</v>
      </c>
      <c r="G38" s="42">
        <v>1584</v>
      </c>
      <c r="H38" s="42">
        <v>5835</v>
      </c>
      <c r="I38" s="42">
        <v>2042</v>
      </c>
      <c r="J38" s="42">
        <v>52063</v>
      </c>
    </row>
    <row r="39" spans="1:10">
      <c r="A39" s="42" t="s">
        <v>89</v>
      </c>
      <c r="B39" s="42" t="s">
        <v>77</v>
      </c>
      <c r="C39" s="42" t="s">
        <v>49</v>
      </c>
      <c r="D39" s="42" t="s">
        <v>36</v>
      </c>
      <c r="E39" s="42">
        <v>19887</v>
      </c>
      <c r="F39" s="42">
        <v>3977</v>
      </c>
      <c r="G39" s="42">
        <v>4132</v>
      </c>
      <c r="H39" s="42">
        <v>2386</v>
      </c>
      <c r="I39" s="42">
        <v>1698</v>
      </c>
      <c r="J39" s="42">
        <v>23912</v>
      </c>
    </row>
    <row r="40" spans="1:10">
      <c r="A40" s="42" t="s">
        <v>90</v>
      </c>
      <c r="B40" s="42" t="s">
        <v>91</v>
      </c>
      <c r="C40" s="42" t="s">
        <v>11</v>
      </c>
      <c r="D40" s="42" t="s">
        <v>36</v>
      </c>
      <c r="E40" s="42">
        <v>30856</v>
      </c>
      <c r="F40" s="42">
        <v>6171</v>
      </c>
      <c r="G40" s="42">
        <v>4916</v>
      </c>
      <c r="H40" s="42">
        <v>3702</v>
      </c>
      <c r="I40" s="42">
        <v>670</v>
      </c>
      <c r="J40" s="42">
        <v>37571</v>
      </c>
    </row>
    <row r="41" spans="1:10">
      <c r="A41" s="42" t="s">
        <v>92</v>
      </c>
      <c r="B41" s="42" t="s">
        <v>93</v>
      </c>
      <c r="C41" s="42" t="s">
        <v>11</v>
      </c>
      <c r="D41" s="42" t="s">
        <v>16</v>
      </c>
      <c r="E41" s="42">
        <v>25645</v>
      </c>
      <c r="F41" s="42">
        <v>5129</v>
      </c>
      <c r="G41" s="42">
        <v>3679</v>
      </c>
      <c r="H41" s="42">
        <v>3077</v>
      </c>
      <c r="I41" s="42">
        <v>1318</v>
      </c>
      <c r="J41" s="42">
        <v>30058</v>
      </c>
    </row>
    <row r="42" spans="1:10">
      <c r="A42" s="42" t="s">
        <v>94</v>
      </c>
      <c r="B42" s="42" t="s">
        <v>95</v>
      </c>
      <c r="C42" s="42" t="s">
        <v>33</v>
      </c>
      <c r="D42" s="42" t="s">
        <v>36</v>
      </c>
      <c r="E42" s="42">
        <v>57521</v>
      </c>
      <c r="F42" s="42">
        <v>11504</v>
      </c>
      <c r="G42" s="42">
        <v>4002</v>
      </c>
      <c r="H42" s="42">
        <v>6902</v>
      </c>
      <c r="I42" s="42">
        <v>1251</v>
      </c>
      <c r="J42" s="42">
        <v>64874</v>
      </c>
    </row>
    <row r="43" spans="1:10">
      <c r="A43" s="42" t="s">
        <v>96</v>
      </c>
      <c r="B43" s="42" t="s">
        <v>97</v>
      </c>
      <c r="C43" s="42" t="s">
        <v>15</v>
      </c>
      <c r="D43" s="42" t="s">
        <v>22</v>
      </c>
      <c r="E43" s="42">
        <v>50770</v>
      </c>
      <c r="F43" s="42">
        <v>10154</v>
      </c>
      <c r="G43" s="42">
        <v>4829</v>
      </c>
      <c r="H43" s="42">
        <v>6092</v>
      </c>
      <c r="I43" s="42">
        <v>1054</v>
      </c>
      <c r="J43" s="42">
        <v>58607</v>
      </c>
    </row>
    <row r="44" spans="1:10">
      <c r="A44" s="42" t="s">
        <v>98</v>
      </c>
      <c r="B44" s="42" t="s">
        <v>27</v>
      </c>
      <c r="C44" s="42" t="s">
        <v>21</v>
      </c>
      <c r="D44" s="42" t="s">
        <v>16</v>
      </c>
      <c r="E44" s="42">
        <v>21748</v>
      </c>
      <c r="F44" s="42">
        <v>4349</v>
      </c>
      <c r="G44" s="42">
        <v>2199</v>
      </c>
      <c r="H44" s="42">
        <v>2609</v>
      </c>
      <c r="I44" s="42">
        <v>2438</v>
      </c>
      <c r="J44" s="42">
        <v>23249</v>
      </c>
    </row>
    <row r="45" spans="1:10">
      <c r="A45" s="42" t="s">
        <v>99</v>
      </c>
      <c r="B45" s="42" t="s">
        <v>100</v>
      </c>
      <c r="C45" s="42" t="s">
        <v>49</v>
      </c>
      <c r="D45" s="42" t="s">
        <v>16</v>
      </c>
      <c r="E45" s="42">
        <v>43679</v>
      </c>
      <c r="F45" s="42">
        <v>8735</v>
      </c>
      <c r="G45" s="42">
        <v>4135</v>
      </c>
      <c r="H45" s="42">
        <v>5241</v>
      </c>
      <c r="I45" s="42">
        <v>536</v>
      </c>
      <c r="J45" s="42">
        <v>50772</v>
      </c>
    </row>
    <row r="46" spans="1:10">
      <c r="A46" s="42" t="s">
        <v>101</v>
      </c>
      <c r="B46" s="42" t="s">
        <v>102</v>
      </c>
      <c r="C46" s="42" t="s">
        <v>21</v>
      </c>
      <c r="D46" s="42" t="s">
        <v>12</v>
      </c>
      <c r="E46" s="42">
        <v>32609</v>
      </c>
      <c r="F46" s="42">
        <v>6521</v>
      </c>
      <c r="G46" s="42">
        <v>1997</v>
      </c>
      <c r="H46" s="42">
        <v>3913</v>
      </c>
      <c r="I46" s="42">
        <v>992</v>
      </c>
      <c r="J46" s="42">
        <v>36222</v>
      </c>
    </row>
    <row r="47" spans="1:10">
      <c r="A47" s="42" t="s">
        <v>103</v>
      </c>
      <c r="B47" s="42" t="s">
        <v>104</v>
      </c>
      <c r="C47" s="42" t="s">
        <v>15</v>
      </c>
      <c r="D47" s="42" t="s">
        <v>28</v>
      </c>
      <c r="E47" s="42">
        <v>54060</v>
      </c>
      <c r="F47" s="42">
        <v>10812</v>
      </c>
      <c r="G47" s="42">
        <v>2221</v>
      </c>
      <c r="H47" s="42">
        <v>6487</v>
      </c>
      <c r="I47" s="42">
        <v>1182</v>
      </c>
      <c r="J47" s="42">
        <v>59424</v>
      </c>
    </row>
    <row r="48" spans="1:10">
      <c r="A48" s="42" t="s">
        <v>105</v>
      </c>
      <c r="B48" s="42" t="s">
        <v>62</v>
      </c>
      <c r="C48" s="42" t="s">
        <v>25</v>
      </c>
      <c r="D48" s="42" t="s">
        <v>16</v>
      </c>
      <c r="E48" s="42">
        <v>44200</v>
      </c>
      <c r="F48" s="42">
        <v>8840</v>
      </c>
      <c r="G48" s="42">
        <v>4872</v>
      </c>
      <c r="H48" s="42">
        <v>5304</v>
      </c>
      <c r="I48" s="42">
        <v>2688</v>
      </c>
      <c r="J48" s="42">
        <v>49920</v>
      </c>
    </row>
    <row r="49" spans="1:10">
      <c r="A49" s="42" t="s">
        <v>106</v>
      </c>
      <c r="B49" s="42" t="s">
        <v>107</v>
      </c>
      <c r="C49" s="42" t="s">
        <v>11</v>
      </c>
      <c r="D49" s="42" t="s">
        <v>36</v>
      </c>
      <c r="E49" s="42">
        <v>30724</v>
      </c>
      <c r="F49" s="42">
        <v>6144</v>
      </c>
      <c r="G49" s="42">
        <v>4851</v>
      </c>
      <c r="H49" s="42">
        <v>3686</v>
      </c>
      <c r="I49" s="42">
        <v>2066</v>
      </c>
      <c r="J49" s="42">
        <v>35967</v>
      </c>
    </row>
    <row r="50" spans="1:10">
      <c r="A50" s="42" t="s">
        <v>108</v>
      </c>
      <c r="B50" s="42" t="s">
        <v>109</v>
      </c>
      <c r="C50" s="42" t="s">
        <v>21</v>
      </c>
      <c r="D50" s="42" t="s">
        <v>12</v>
      </c>
      <c r="E50" s="42">
        <v>17539</v>
      </c>
      <c r="F50" s="42">
        <v>3507</v>
      </c>
      <c r="G50" s="42">
        <v>4041</v>
      </c>
      <c r="H50" s="42">
        <v>2104</v>
      </c>
      <c r="I50" s="42">
        <v>2416</v>
      </c>
      <c r="J50" s="42">
        <v>20567</v>
      </c>
    </row>
    <row r="51" spans="1:10">
      <c r="A51" s="42" t="s">
        <v>110</v>
      </c>
      <c r="B51" s="42" t="s">
        <v>111</v>
      </c>
      <c r="C51" s="42" t="s">
        <v>25</v>
      </c>
      <c r="D51" s="42" t="s">
        <v>36</v>
      </c>
      <c r="E51" s="42">
        <v>51211</v>
      </c>
      <c r="F51" s="42">
        <v>10242</v>
      </c>
      <c r="G51" s="42">
        <v>2705</v>
      </c>
      <c r="H51" s="42">
        <v>6145</v>
      </c>
      <c r="I51" s="42">
        <v>2720</v>
      </c>
      <c r="J51" s="42">
        <v>55293</v>
      </c>
    </row>
    <row r="52" spans="1:10">
      <c r="A52" s="42" t="s">
        <v>112</v>
      </c>
      <c r="B52" s="42" t="s">
        <v>104</v>
      </c>
      <c r="C52" s="42" t="s">
        <v>21</v>
      </c>
      <c r="D52" s="42" t="s">
        <v>22</v>
      </c>
      <c r="E52" s="42">
        <v>30658</v>
      </c>
      <c r="F52" s="42">
        <v>6131</v>
      </c>
      <c r="G52" s="42">
        <v>2409</v>
      </c>
      <c r="H52" s="42">
        <v>3678</v>
      </c>
      <c r="I52" s="42">
        <v>739</v>
      </c>
      <c r="J52" s="42">
        <v>34781</v>
      </c>
    </row>
    <row r="53" spans="1:10">
      <c r="A53" s="42" t="s">
        <v>113</v>
      </c>
      <c r="B53" s="42" t="s">
        <v>60</v>
      </c>
      <c r="C53" s="42" t="s">
        <v>49</v>
      </c>
      <c r="D53" s="42" t="s">
        <v>16</v>
      </c>
      <c r="E53" s="42">
        <v>40674</v>
      </c>
      <c r="F53" s="42">
        <v>8134</v>
      </c>
      <c r="G53" s="42">
        <v>3415</v>
      </c>
      <c r="H53" s="42">
        <v>4880</v>
      </c>
      <c r="I53" s="42">
        <v>1469</v>
      </c>
      <c r="J53" s="42">
        <v>45874</v>
      </c>
    </row>
    <row r="54" spans="1:10">
      <c r="A54" s="42" t="s">
        <v>114</v>
      </c>
      <c r="B54" s="42" t="s">
        <v>115</v>
      </c>
      <c r="C54" s="42" t="s">
        <v>49</v>
      </c>
      <c r="D54" s="42" t="s">
        <v>16</v>
      </c>
      <c r="E54" s="42">
        <v>26912</v>
      </c>
      <c r="F54" s="42">
        <v>5382</v>
      </c>
      <c r="G54" s="42">
        <v>1473</v>
      </c>
      <c r="H54" s="42">
        <v>3229</v>
      </c>
      <c r="I54" s="42">
        <v>1554</v>
      </c>
      <c r="J54" s="42">
        <v>28984</v>
      </c>
    </row>
    <row r="55" spans="1:10">
      <c r="A55" s="42" t="s">
        <v>116</v>
      </c>
      <c r="B55" s="42" t="s">
        <v>117</v>
      </c>
      <c r="C55" s="42" t="s">
        <v>25</v>
      </c>
      <c r="D55" s="42" t="s">
        <v>16</v>
      </c>
      <c r="E55" s="42">
        <v>29020</v>
      </c>
      <c r="F55" s="42">
        <v>5804</v>
      </c>
      <c r="G55" s="42">
        <v>3205</v>
      </c>
      <c r="H55" s="42">
        <v>3482</v>
      </c>
      <c r="I55" s="42">
        <v>1075</v>
      </c>
      <c r="J55" s="42">
        <v>33472</v>
      </c>
    </row>
    <row r="56" spans="1:10">
      <c r="A56" s="42" t="s">
        <v>118</v>
      </c>
      <c r="B56" s="42" t="s">
        <v>97</v>
      </c>
      <c r="C56" s="42" t="s">
        <v>21</v>
      </c>
      <c r="D56" s="42" t="s">
        <v>16</v>
      </c>
      <c r="E56" s="42">
        <v>20988</v>
      </c>
      <c r="F56" s="42">
        <v>4197</v>
      </c>
      <c r="G56" s="42">
        <v>2074</v>
      </c>
      <c r="H56" s="42">
        <v>2518</v>
      </c>
      <c r="I56" s="42">
        <v>1458</v>
      </c>
      <c r="J56" s="42">
        <v>23283</v>
      </c>
    </row>
    <row r="57" spans="1:10">
      <c r="A57" s="42" t="s">
        <v>119</v>
      </c>
      <c r="B57" s="42" t="s">
        <v>120</v>
      </c>
      <c r="C57" s="42" t="s">
        <v>49</v>
      </c>
      <c r="D57" s="42" t="s">
        <v>36</v>
      </c>
      <c r="E57" s="42">
        <v>54111</v>
      </c>
      <c r="F57" s="42">
        <v>10822</v>
      </c>
      <c r="G57" s="42">
        <v>1421</v>
      </c>
      <c r="H57" s="42">
        <v>6493</v>
      </c>
      <c r="I57" s="42">
        <v>2036</v>
      </c>
      <c r="J57" s="42">
        <v>57825</v>
      </c>
    </row>
    <row r="58" spans="1:10">
      <c r="A58" s="42" t="s">
        <v>121</v>
      </c>
      <c r="B58" s="42" t="s">
        <v>102</v>
      </c>
      <c r="C58" s="42" t="s">
        <v>25</v>
      </c>
      <c r="D58" s="42" t="s">
        <v>36</v>
      </c>
      <c r="E58" s="42">
        <v>52525</v>
      </c>
      <c r="F58" s="42">
        <v>10505</v>
      </c>
      <c r="G58" s="42">
        <v>3471</v>
      </c>
      <c r="H58" s="42">
        <v>6303</v>
      </c>
      <c r="I58" s="42">
        <v>1078</v>
      </c>
      <c r="J58" s="42">
        <v>59120</v>
      </c>
    </row>
    <row r="59" spans="1:10">
      <c r="A59" s="42" t="s">
        <v>122</v>
      </c>
      <c r="B59" s="42" t="s">
        <v>123</v>
      </c>
      <c r="C59" s="42" t="s">
        <v>49</v>
      </c>
      <c r="D59" s="42" t="s">
        <v>12</v>
      </c>
      <c r="E59" s="42">
        <v>57368</v>
      </c>
      <c r="F59" s="42">
        <v>11473</v>
      </c>
      <c r="G59" s="42">
        <v>4545</v>
      </c>
      <c r="H59" s="42">
        <v>6884</v>
      </c>
      <c r="I59" s="42">
        <v>1099</v>
      </c>
      <c r="J59" s="42">
        <v>65403</v>
      </c>
    </row>
    <row r="60" spans="1:10">
      <c r="A60" s="42" t="s">
        <v>124</v>
      </c>
      <c r="B60" s="42" t="s">
        <v>60</v>
      </c>
      <c r="C60" s="42" t="s">
        <v>11</v>
      </c>
      <c r="D60" s="42" t="s">
        <v>36</v>
      </c>
      <c r="E60" s="42">
        <v>16498</v>
      </c>
      <c r="F60" s="42">
        <v>3299</v>
      </c>
      <c r="G60" s="42">
        <v>1938</v>
      </c>
      <c r="H60" s="42">
        <v>1979</v>
      </c>
      <c r="I60" s="42">
        <v>2190</v>
      </c>
      <c r="J60" s="42">
        <v>17566</v>
      </c>
    </row>
    <row r="61" spans="1:10">
      <c r="A61" s="42" t="s">
        <v>125</v>
      </c>
      <c r="B61" s="42" t="s">
        <v>126</v>
      </c>
      <c r="C61" s="42" t="s">
        <v>15</v>
      </c>
      <c r="D61" s="42" t="s">
        <v>22</v>
      </c>
      <c r="E61" s="42">
        <v>38201</v>
      </c>
      <c r="F61" s="42">
        <v>7640</v>
      </c>
      <c r="G61" s="42">
        <v>1201</v>
      </c>
      <c r="H61" s="42">
        <v>4584</v>
      </c>
      <c r="I61" s="42">
        <v>2087</v>
      </c>
      <c r="J61" s="42">
        <v>40371</v>
      </c>
    </row>
    <row r="62" spans="1:10">
      <c r="A62" s="42" t="s">
        <v>127</v>
      </c>
      <c r="B62" s="42" t="s">
        <v>128</v>
      </c>
      <c r="C62" s="42" t="s">
        <v>15</v>
      </c>
      <c r="D62" s="42" t="s">
        <v>36</v>
      </c>
      <c r="E62" s="42">
        <v>42021</v>
      </c>
      <c r="F62" s="42">
        <v>8404</v>
      </c>
      <c r="G62" s="42">
        <v>1994</v>
      </c>
      <c r="H62" s="42">
        <v>5042</v>
      </c>
      <c r="I62" s="42">
        <v>1731</v>
      </c>
      <c r="J62" s="42">
        <v>45646</v>
      </c>
    </row>
    <row r="63" spans="1:10">
      <c r="A63" s="42" t="s">
        <v>129</v>
      </c>
      <c r="B63" s="42" t="s">
        <v>130</v>
      </c>
      <c r="C63" s="42" t="s">
        <v>21</v>
      </c>
      <c r="D63" s="42" t="s">
        <v>22</v>
      </c>
      <c r="E63" s="42">
        <v>33525</v>
      </c>
      <c r="F63" s="42">
        <v>6705</v>
      </c>
      <c r="G63" s="42">
        <v>4894</v>
      </c>
      <c r="H63" s="42">
        <v>4023</v>
      </c>
      <c r="I63" s="42">
        <v>956</v>
      </c>
      <c r="J63" s="42">
        <v>40145</v>
      </c>
    </row>
    <row r="64" spans="1:10">
      <c r="A64" s="42" t="s">
        <v>131</v>
      </c>
      <c r="B64" s="42" t="s">
        <v>46</v>
      </c>
      <c r="C64" s="42" t="s">
        <v>49</v>
      </c>
      <c r="D64" s="42" t="s">
        <v>12</v>
      </c>
      <c r="E64" s="42">
        <v>51010</v>
      </c>
      <c r="F64" s="42">
        <v>10202</v>
      </c>
      <c r="G64" s="42">
        <v>2212</v>
      </c>
      <c r="H64" s="42">
        <v>6121</v>
      </c>
      <c r="I64" s="42">
        <v>1171</v>
      </c>
      <c r="J64" s="42">
        <v>56132</v>
      </c>
    </row>
    <row r="65" spans="1:10">
      <c r="A65" s="42" t="s">
        <v>132</v>
      </c>
      <c r="B65" s="42" t="s">
        <v>133</v>
      </c>
      <c r="C65" s="42" t="s">
        <v>21</v>
      </c>
      <c r="D65" s="42" t="s">
        <v>36</v>
      </c>
      <c r="E65" s="42">
        <v>44575</v>
      </c>
      <c r="F65" s="42">
        <v>8915</v>
      </c>
      <c r="G65" s="42">
        <v>2575</v>
      </c>
      <c r="H65" s="42">
        <v>5349</v>
      </c>
      <c r="I65" s="42">
        <v>1152</v>
      </c>
      <c r="J65" s="42">
        <v>49564</v>
      </c>
    </row>
    <row r="66" spans="1:10">
      <c r="A66" s="42" t="s">
        <v>134</v>
      </c>
      <c r="B66" s="42" t="s">
        <v>135</v>
      </c>
      <c r="C66" s="42" t="s">
        <v>11</v>
      </c>
      <c r="D66" s="42" t="s">
        <v>12</v>
      </c>
      <c r="E66" s="42">
        <v>17674</v>
      </c>
      <c r="F66" s="42">
        <v>3534</v>
      </c>
      <c r="G66" s="42">
        <v>3605</v>
      </c>
      <c r="H66" s="42">
        <v>2120</v>
      </c>
      <c r="I66" s="42">
        <v>666</v>
      </c>
      <c r="J66" s="42">
        <v>22027</v>
      </c>
    </row>
    <row r="67" spans="1:10">
      <c r="A67" s="42" t="s">
        <v>136</v>
      </c>
      <c r="B67" s="42" t="s">
        <v>130</v>
      </c>
      <c r="C67" s="42" t="s">
        <v>21</v>
      </c>
      <c r="D67" s="42" t="s">
        <v>22</v>
      </c>
      <c r="E67" s="42">
        <v>52585</v>
      </c>
      <c r="F67" s="42">
        <v>10517</v>
      </c>
      <c r="G67" s="42">
        <v>3584</v>
      </c>
      <c r="H67" s="42">
        <v>6310</v>
      </c>
      <c r="I67" s="42">
        <v>2562</v>
      </c>
      <c r="J67" s="42">
        <v>57814</v>
      </c>
    </row>
    <row r="68" spans="1:10">
      <c r="A68" s="42" t="s">
        <v>137</v>
      </c>
      <c r="B68" s="42" t="s">
        <v>138</v>
      </c>
      <c r="C68" s="42" t="s">
        <v>49</v>
      </c>
      <c r="D68" s="42" t="s">
        <v>16</v>
      </c>
      <c r="E68" s="42">
        <v>55834</v>
      </c>
      <c r="F68" s="42">
        <v>11166</v>
      </c>
      <c r="G68" s="42">
        <v>1370</v>
      </c>
      <c r="H68" s="42">
        <v>6700</v>
      </c>
      <c r="I68" s="42">
        <v>1376</v>
      </c>
      <c r="J68" s="42">
        <v>60294</v>
      </c>
    </row>
    <row r="69" spans="1:10">
      <c r="A69" s="42" t="s">
        <v>139</v>
      </c>
      <c r="B69" s="42" t="s">
        <v>140</v>
      </c>
      <c r="C69" s="42" t="s">
        <v>49</v>
      </c>
      <c r="D69" s="42" t="s">
        <v>12</v>
      </c>
      <c r="E69" s="42">
        <v>48349</v>
      </c>
      <c r="F69" s="42">
        <v>9669</v>
      </c>
      <c r="G69" s="42">
        <v>3919</v>
      </c>
      <c r="H69" s="42">
        <v>5801</v>
      </c>
      <c r="I69" s="42">
        <v>2752</v>
      </c>
      <c r="J69" s="42">
        <v>53384</v>
      </c>
    </row>
    <row r="70" spans="1:10">
      <c r="A70" s="42" t="s">
        <v>141</v>
      </c>
      <c r="B70" s="42" t="s">
        <v>123</v>
      </c>
      <c r="C70" s="42" t="s">
        <v>15</v>
      </c>
      <c r="D70" s="42" t="s">
        <v>28</v>
      </c>
      <c r="E70" s="42">
        <v>18075</v>
      </c>
      <c r="F70" s="42">
        <v>3615</v>
      </c>
      <c r="G70" s="42">
        <v>2987</v>
      </c>
      <c r="H70" s="42">
        <v>2169</v>
      </c>
      <c r="I70" s="42">
        <v>2015</v>
      </c>
      <c r="J70" s="42">
        <v>20493</v>
      </c>
    </row>
    <row r="71" spans="1:10">
      <c r="A71" s="42" t="s">
        <v>142</v>
      </c>
      <c r="B71" s="42" t="s">
        <v>143</v>
      </c>
      <c r="C71" s="42" t="s">
        <v>33</v>
      </c>
      <c r="D71" s="42" t="s">
        <v>28</v>
      </c>
      <c r="E71" s="42">
        <v>56480</v>
      </c>
      <c r="F71" s="42">
        <v>11296</v>
      </c>
      <c r="G71" s="42">
        <v>3958</v>
      </c>
      <c r="H71" s="42">
        <v>6777</v>
      </c>
      <c r="I71" s="42">
        <v>1462</v>
      </c>
      <c r="J71" s="42">
        <v>63495</v>
      </c>
    </row>
    <row r="72" spans="1:10">
      <c r="A72" s="42" t="s">
        <v>144</v>
      </c>
      <c r="B72" s="42" t="s">
        <v>77</v>
      </c>
      <c r="C72" s="42" t="s">
        <v>25</v>
      </c>
      <c r="D72" s="42" t="s">
        <v>22</v>
      </c>
      <c r="E72" s="42">
        <v>56798</v>
      </c>
      <c r="F72" s="42">
        <v>11359</v>
      </c>
      <c r="G72" s="42">
        <v>1242</v>
      </c>
      <c r="H72" s="42">
        <v>6815</v>
      </c>
      <c r="I72" s="42">
        <v>2070</v>
      </c>
      <c r="J72" s="42">
        <v>60514</v>
      </c>
    </row>
    <row r="73" spans="1:10">
      <c r="A73" s="42" t="s">
        <v>145</v>
      </c>
      <c r="B73" s="42" t="s">
        <v>73</v>
      </c>
      <c r="C73" s="42" t="s">
        <v>33</v>
      </c>
      <c r="D73" s="42" t="s">
        <v>16</v>
      </c>
      <c r="E73" s="42">
        <v>34501</v>
      </c>
      <c r="F73" s="42">
        <v>6900</v>
      </c>
      <c r="G73" s="42">
        <v>4965</v>
      </c>
      <c r="H73" s="42">
        <v>4140</v>
      </c>
      <c r="I73" s="42">
        <v>2673</v>
      </c>
      <c r="J73" s="42">
        <v>39553</v>
      </c>
    </row>
    <row r="74" spans="1:10">
      <c r="A74" s="42" t="s">
        <v>146</v>
      </c>
      <c r="B74" s="42" t="s">
        <v>128</v>
      </c>
      <c r="C74" s="42" t="s">
        <v>49</v>
      </c>
      <c r="D74" s="42" t="s">
        <v>36</v>
      </c>
      <c r="E74" s="42">
        <v>38040</v>
      </c>
      <c r="F74" s="42">
        <v>7608</v>
      </c>
      <c r="G74" s="42">
        <v>1592</v>
      </c>
      <c r="H74" s="42">
        <v>4564</v>
      </c>
      <c r="I74" s="42">
        <v>2341</v>
      </c>
      <c r="J74" s="42">
        <v>40335</v>
      </c>
    </row>
    <row r="75" spans="1:10">
      <c r="A75" s="42" t="s">
        <v>147</v>
      </c>
      <c r="B75" s="42" t="s">
        <v>64</v>
      </c>
      <c r="C75" s="42" t="s">
        <v>25</v>
      </c>
      <c r="D75" s="42" t="s">
        <v>12</v>
      </c>
      <c r="E75" s="42">
        <v>37103</v>
      </c>
      <c r="F75" s="42">
        <v>7420</v>
      </c>
      <c r="G75" s="42">
        <v>4410</v>
      </c>
      <c r="H75" s="42">
        <v>4452</v>
      </c>
      <c r="I75" s="42">
        <v>2633</v>
      </c>
      <c r="J75" s="42">
        <v>41848</v>
      </c>
    </row>
    <row r="76" spans="1:10">
      <c r="A76" s="42" t="s">
        <v>148</v>
      </c>
      <c r="B76" s="42" t="s">
        <v>149</v>
      </c>
      <c r="C76" s="42" t="s">
        <v>15</v>
      </c>
      <c r="D76" s="42" t="s">
        <v>36</v>
      </c>
      <c r="E76" s="42">
        <v>26869</v>
      </c>
      <c r="F76" s="42">
        <v>5373</v>
      </c>
      <c r="G76" s="42">
        <v>1912</v>
      </c>
      <c r="H76" s="42">
        <v>3224</v>
      </c>
      <c r="I76" s="42">
        <v>931</v>
      </c>
      <c r="J76" s="42">
        <v>29999</v>
      </c>
    </row>
    <row r="77" spans="1:10">
      <c r="A77" s="42" t="s">
        <v>150</v>
      </c>
      <c r="B77" s="42" t="s">
        <v>85</v>
      </c>
      <c r="C77" s="42" t="s">
        <v>15</v>
      </c>
      <c r="D77" s="42" t="s">
        <v>36</v>
      </c>
      <c r="E77" s="42">
        <v>48105</v>
      </c>
      <c r="F77" s="42">
        <v>9621</v>
      </c>
      <c r="G77" s="42">
        <v>2692</v>
      </c>
      <c r="H77" s="42">
        <v>5772</v>
      </c>
      <c r="I77" s="42">
        <v>1164</v>
      </c>
      <c r="J77" s="42">
        <v>53482</v>
      </c>
    </row>
    <row r="78" spans="1:10">
      <c r="A78" s="42" t="s">
        <v>151</v>
      </c>
      <c r="B78" s="42" t="s">
        <v>152</v>
      </c>
      <c r="C78" s="42" t="s">
        <v>49</v>
      </c>
      <c r="D78" s="42" t="s">
        <v>28</v>
      </c>
      <c r="E78" s="42">
        <v>41221</v>
      </c>
      <c r="F78" s="42">
        <v>8244</v>
      </c>
      <c r="G78" s="42">
        <v>2197</v>
      </c>
      <c r="H78" s="42">
        <v>4946</v>
      </c>
      <c r="I78" s="42">
        <v>1358</v>
      </c>
      <c r="J78" s="42">
        <v>45358</v>
      </c>
    </row>
    <row r="79" spans="1:10">
      <c r="A79" s="42" t="s">
        <v>153</v>
      </c>
      <c r="B79" s="42" t="s">
        <v>133</v>
      </c>
      <c r="C79" s="42" t="s">
        <v>33</v>
      </c>
      <c r="D79" s="42" t="s">
        <v>36</v>
      </c>
      <c r="E79" s="42">
        <v>16076</v>
      </c>
      <c r="F79" s="42">
        <v>3215</v>
      </c>
      <c r="G79" s="42">
        <v>1339</v>
      </c>
      <c r="H79" s="42">
        <v>1929</v>
      </c>
      <c r="I79" s="42">
        <v>2840</v>
      </c>
      <c r="J79" s="42">
        <v>15861</v>
      </c>
    </row>
    <row r="80" spans="1:10">
      <c r="A80" s="42" t="s">
        <v>154</v>
      </c>
      <c r="B80" s="42" t="s">
        <v>135</v>
      </c>
      <c r="C80" s="42" t="s">
        <v>15</v>
      </c>
      <c r="D80" s="42" t="s">
        <v>28</v>
      </c>
      <c r="E80" s="42">
        <v>56132</v>
      </c>
      <c r="F80" s="42">
        <v>11226</v>
      </c>
      <c r="G80" s="42">
        <v>2431</v>
      </c>
      <c r="H80" s="42">
        <v>6735</v>
      </c>
      <c r="I80" s="42">
        <v>1442</v>
      </c>
      <c r="J80" s="42">
        <v>61612</v>
      </c>
    </row>
    <row r="81" spans="1:10">
      <c r="A81" s="42" t="s">
        <v>155</v>
      </c>
      <c r="B81" s="42" t="s">
        <v>156</v>
      </c>
      <c r="C81" s="42" t="s">
        <v>25</v>
      </c>
      <c r="D81" s="42" t="s">
        <v>28</v>
      </c>
      <c r="E81" s="42">
        <v>15286</v>
      </c>
      <c r="F81" s="42">
        <v>3057</v>
      </c>
      <c r="G81" s="42">
        <v>4506</v>
      </c>
      <c r="H81" s="42">
        <v>1834</v>
      </c>
      <c r="I81" s="42">
        <v>570</v>
      </c>
      <c r="J81" s="42">
        <v>20445</v>
      </c>
    </row>
    <row r="82" spans="1:10">
      <c r="A82" s="42" t="s">
        <v>157</v>
      </c>
      <c r="B82" s="42" t="s">
        <v>79</v>
      </c>
      <c r="C82" s="42" t="s">
        <v>11</v>
      </c>
      <c r="D82" s="42" t="s">
        <v>16</v>
      </c>
      <c r="E82" s="42">
        <v>32139</v>
      </c>
      <c r="F82" s="42">
        <v>6427</v>
      </c>
      <c r="G82" s="42">
        <v>3713</v>
      </c>
      <c r="H82" s="42">
        <v>3856</v>
      </c>
      <c r="I82" s="42">
        <v>910</v>
      </c>
      <c r="J82" s="42">
        <v>37513</v>
      </c>
    </row>
    <row r="83" spans="1:10">
      <c r="A83" s="42" t="s">
        <v>158</v>
      </c>
      <c r="B83" s="42" t="s">
        <v>64</v>
      </c>
      <c r="C83" s="42" t="s">
        <v>11</v>
      </c>
      <c r="D83" s="42" t="s">
        <v>22</v>
      </c>
      <c r="E83" s="42">
        <v>31439</v>
      </c>
      <c r="F83" s="42">
        <v>6287</v>
      </c>
      <c r="G83" s="42">
        <v>1512</v>
      </c>
      <c r="H83" s="42">
        <v>3772</v>
      </c>
      <c r="I83" s="42">
        <v>2270</v>
      </c>
      <c r="J83" s="42">
        <v>33196</v>
      </c>
    </row>
    <row r="84" spans="1:10">
      <c r="A84" s="42" t="s">
        <v>159</v>
      </c>
      <c r="B84" s="42" t="s">
        <v>160</v>
      </c>
      <c r="C84" s="42" t="s">
        <v>11</v>
      </c>
      <c r="D84" s="42" t="s">
        <v>12</v>
      </c>
      <c r="E84" s="42">
        <v>42176</v>
      </c>
      <c r="F84" s="42">
        <v>8435</v>
      </c>
      <c r="G84" s="42">
        <v>4593</v>
      </c>
      <c r="H84" s="42">
        <v>5061</v>
      </c>
      <c r="I84" s="42">
        <v>1076</v>
      </c>
      <c r="J84" s="42">
        <v>49067</v>
      </c>
    </row>
    <row r="85" spans="1:10">
      <c r="A85" s="42" t="s">
        <v>161</v>
      </c>
      <c r="B85" s="42" t="s">
        <v>126</v>
      </c>
      <c r="C85" s="42" t="s">
        <v>49</v>
      </c>
      <c r="D85" s="42" t="s">
        <v>36</v>
      </c>
      <c r="E85" s="42">
        <v>54289</v>
      </c>
      <c r="F85" s="42">
        <v>10857</v>
      </c>
      <c r="G85" s="42">
        <v>3198</v>
      </c>
      <c r="H85" s="42">
        <v>6514</v>
      </c>
      <c r="I85" s="42">
        <v>1227</v>
      </c>
      <c r="J85" s="42">
        <v>60603</v>
      </c>
    </row>
    <row r="86" spans="1:10">
      <c r="A86" s="42" t="s">
        <v>162</v>
      </c>
      <c r="B86" s="42" t="s">
        <v>126</v>
      </c>
      <c r="C86" s="42" t="s">
        <v>11</v>
      </c>
      <c r="D86" s="42" t="s">
        <v>28</v>
      </c>
      <c r="E86" s="42">
        <v>54471</v>
      </c>
      <c r="F86" s="42">
        <v>10894</v>
      </c>
      <c r="G86" s="42">
        <v>2484</v>
      </c>
      <c r="H86" s="42">
        <v>6536</v>
      </c>
      <c r="I86" s="42">
        <v>1698</v>
      </c>
      <c r="J86" s="42">
        <v>59615</v>
      </c>
    </row>
    <row r="87" spans="1:10">
      <c r="A87" s="42" t="s">
        <v>163</v>
      </c>
      <c r="B87" s="42" t="s">
        <v>164</v>
      </c>
      <c r="C87" s="42" t="s">
        <v>33</v>
      </c>
      <c r="D87" s="42" t="s">
        <v>22</v>
      </c>
      <c r="E87" s="42">
        <v>36150</v>
      </c>
      <c r="F87" s="42">
        <v>7230</v>
      </c>
      <c r="G87" s="42">
        <v>2366</v>
      </c>
      <c r="H87" s="42">
        <v>4338</v>
      </c>
      <c r="I87" s="42">
        <v>2735</v>
      </c>
      <c r="J87" s="42">
        <v>38673</v>
      </c>
    </row>
    <row r="88" spans="1:10">
      <c r="A88" s="42" t="s">
        <v>165</v>
      </c>
      <c r="B88" s="42" t="s">
        <v>93</v>
      </c>
      <c r="C88" s="42" t="s">
        <v>49</v>
      </c>
      <c r="D88" s="42" t="s">
        <v>16</v>
      </c>
      <c r="E88" s="42">
        <v>48995</v>
      </c>
      <c r="F88" s="42">
        <v>9799</v>
      </c>
      <c r="G88" s="42">
        <v>1268</v>
      </c>
      <c r="H88" s="42">
        <v>5879</v>
      </c>
      <c r="I88" s="42">
        <v>2577</v>
      </c>
      <c r="J88" s="42">
        <v>51606</v>
      </c>
    </row>
    <row r="89" spans="1:10">
      <c r="A89" s="42" t="s">
        <v>166</v>
      </c>
      <c r="B89" s="42" t="s">
        <v>167</v>
      </c>
      <c r="C89" s="42" t="s">
        <v>25</v>
      </c>
      <c r="D89" s="42" t="s">
        <v>36</v>
      </c>
      <c r="E89" s="42">
        <v>52666</v>
      </c>
      <c r="F89" s="42">
        <v>10533</v>
      </c>
      <c r="G89" s="42">
        <v>2438</v>
      </c>
      <c r="H89" s="42">
        <v>6319</v>
      </c>
      <c r="I89" s="42">
        <v>879</v>
      </c>
      <c r="J89" s="42">
        <v>58439</v>
      </c>
    </row>
    <row r="90" spans="1:10">
      <c r="A90" s="42" t="s">
        <v>168</v>
      </c>
      <c r="B90" s="42" t="s">
        <v>169</v>
      </c>
      <c r="C90" s="42" t="s">
        <v>25</v>
      </c>
      <c r="D90" s="42" t="s">
        <v>28</v>
      </c>
      <c r="E90" s="42">
        <v>35729</v>
      </c>
      <c r="F90" s="42">
        <v>7145</v>
      </c>
      <c r="G90" s="42">
        <v>1426</v>
      </c>
      <c r="H90" s="42">
        <v>4287</v>
      </c>
      <c r="I90" s="42">
        <v>1016</v>
      </c>
      <c r="J90" s="42">
        <v>38997</v>
      </c>
    </row>
    <row r="91" spans="1:10">
      <c r="A91" s="42" t="s">
        <v>170</v>
      </c>
      <c r="B91" s="42" t="s">
        <v>171</v>
      </c>
      <c r="C91" s="42" t="s">
        <v>11</v>
      </c>
      <c r="D91" s="42" t="s">
        <v>12</v>
      </c>
      <c r="E91" s="42">
        <v>41591</v>
      </c>
      <c r="F91" s="42">
        <v>8318</v>
      </c>
      <c r="G91" s="42">
        <v>3044</v>
      </c>
      <c r="H91" s="42">
        <v>4990</v>
      </c>
      <c r="I91" s="42">
        <v>2036</v>
      </c>
      <c r="J91" s="42">
        <v>45927</v>
      </c>
    </row>
    <row r="92" spans="1:10">
      <c r="A92" s="42" t="s">
        <v>172</v>
      </c>
      <c r="B92" s="42" t="s">
        <v>120</v>
      </c>
      <c r="C92" s="42" t="s">
        <v>25</v>
      </c>
      <c r="D92" s="42" t="s">
        <v>12</v>
      </c>
      <c r="E92" s="42">
        <v>31101</v>
      </c>
      <c r="F92" s="42">
        <v>6220</v>
      </c>
      <c r="G92" s="42">
        <v>2879</v>
      </c>
      <c r="H92" s="42">
        <v>3732</v>
      </c>
      <c r="I92" s="42">
        <v>2180</v>
      </c>
      <c r="J92" s="42">
        <v>34288</v>
      </c>
    </row>
    <row r="93" spans="1:10">
      <c r="A93" s="42" t="s">
        <v>173</v>
      </c>
      <c r="B93" s="42" t="s">
        <v>174</v>
      </c>
      <c r="C93" s="42" t="s">
        <v>11</v>
      </c>
      <c r="D93" s="42" t="s">
        <v>22</v>
      </c>
      <c r="E93" s="42">
        <v>30885</v>
      </c>
      <c r="F93" s="42">
        <v>6177</v>
      </c>
      <c r="G93" s="42">
        <v>3569</v>
      </c>
      <c r="H93" s="42">
        <v>3706</v>
      </c>
      <c r="I93" s="42">
        <v>1282</v>
      </c>
      <c r="J93" s="42">
        <v>35643</v>
      </c>
    </row>
    <row r="94" spans="1:10">
      <c r="A94" s="42" t="s">
        <v>175</v>
      </c>
      <c r="B94" s="42" t="s">
        <v>14</v>
      </c>
      <c r="C94" s="42" t="s">
        <v>49</v>
      </c>
      <c r="D94" s="42" t="s">
        <v>28</v>
      </c>
      <c r="E94" s="42">
        <v>22996</v>
      </c>
      <c r="F94" s="42">
        <v>4599</v>
      </c>
      <c r="G94" s="42">
        <v>3051</v>
      </c>
      <c r="H94" s="42">
        <v>2759</v>
      </c>
      <c r="I94" s="42">
        <v>1526</v>
      </c>
      <c r="J94" s="42">
        <v>26361</v>
      </c>
    </row>
    <row r="95" spans="1:10">
      <c r="A95" s="42" t="s">
        <v>176</v>
      </c>
      <c r="B95" s="42" t="s">
        <v>177</v>
      </c>
      <c r="C95" s="42" t="s">
        <v>25</v>
      </c>
      <c r="D95" s="42" t="s">
        <v>22</v>
      </c>
      <c r="E95" s="42">
        <v>58043</v>
      </c>
      <c r="F95" s="42">
        <v>11608</v>
      </c>
      <c r="G95" s="42">
        <v>1712</v>
      </c>
      <c r="H95" s="42">
        <v>6965</v>
      </c>
      <c r="I95" s="42">
        <v>1681</v>
      </c>
      <c r="J95" s="42">
        <v>62717</v>
      </c>
    </row>
    <row r="96" spans="1:10">
      <c r="A96" s="42" t="s">
        <v>178</v>
      </c>
      <c r="B96" s="42" t="s">
        <v>35</v>
      </c>
      <c r="C96" s="42" t="s">
        <v>33</v>
      </c>
      <c r="D96" s="42" t="s">
        <v>12</v>
      </c>
      <c r="E96" s="42">
        <v>28476</v>
      </c>
      <c r="F96" s="42">
        <v>5695</v>
      </c>
      <c r="G96" s="42">
        <v>1392</v>
      </c>
      <c r="H96" s="42">
        <v>3417</v>
      </c>
      <c r="I96" s="42">
        <v>1717</v>
      </c>
      <c r="J96" s="42">
        <v>30429</v>
      </c>
    </row>
    <row r="97" spans="1:10">
      <c r="A97" s="42" t="s">
        <v>179</v>
      </c>
      <c r="B97" s="42" t="s">
        <v>83</v>
      </c>
      <c r="C97" s="42" t="s">
        <v>15</v>
      </c>
      <c r="D97" s="42" t="s">
        <v>36</v>
      </c>
      <c r="E97" s="42">
        <v>38431</v>
      </c>
      <c r="F97" s="42">
        <v>7686</v>
      </c>
      <c r="G97" s="42">
        <v>4114</v>
      </c>
      <c r="H97" s="42">
        <v>4611</v>
      </c>
      <c r="I97" s="42">
        <v>851</v>
      </c>
      <c r="J97" s="42">
        <v>44769</v>
      </c>
    </row>
    <row r="98" spans="1:10">
      <c r="A98" s="42" t="s">
        <v>180</v>
      </c>
      <c r="B98" s="42" t="s">
        <v>14</v>
      </c>
      <c r="C98" s="42" t="s">
        <v>11</v>
      </c>
      <c r="D98" s="42" t="s">
        <v>22</v>
      </c>
      <c r="E98" s="42">
        <v>29188</v>
      </c>
      <c r="F98" s="42">
        <v>5837</v>
      </c>
      <c r="G98" s="42">
        <v>4273</v>
      </c>
      <c r="H98" s="42">
        <v>3502</v>
      </c>
      <c r="I98" s="42">
        <v>1652</v>
      </c>
      <c r="J98" s="42">
        <v>34144</v>
      </c>
    </row>
    <row r="99" spans="1:10">
      <c r="A99" s="42" t="s">
        <v>181</v>
      </c>
      <c r="B99" s="42" t="s">
        <v>18</v>
      </c>
      <c r="C99" s="42" t="s">
        <v>21</v>
      </c>
      <c r="D99" s="42" t="s">
        <v>22</v>
      </c>
      <c r="E99" s="42">
        <v>43936</v>
      </c>
      <c r="F99" s="42">
        <v>8787</v>
      </c>
      <c r="G99" s="42">
        <v>4077</v>
      </c>
      <c r="H99" s="42">
        <v>5272</v>
      </c>
      <c r="I99" s="42">
        <v>1354</v>
      </c>
      <c r="J99" s="42">
        <v>50174</v>
      </c>
    </row>
    <row r="100" spans="1:10">
      <c r="A100" s="42" t="s">
        <v>182</v>
      </c>
      <c r="B100" s="42" t="s">
        <v>14</v>
      </c>
      <c r="C100" s="42" t="s">
        <v>11</v>
      </c>
      <c r="D100" s="42" t="s">
        <v>28</v>
      </c>
      <c r="E100" s="42">
        <v>42088</v>
      </c>
      <c r="F100" s="42">
        <v>8417</v>
      </c>
      <c r="G100" s="42">
        <v>3212</v>
      </c>
      <c r="H100" s="42">
        <v>5050</v>
      </c>
      <c r="I100" s="42">
        <v>1880</v>
      </c>
      <c r="J100" s="42">
        <v>46787</v>
      </c>
    </row>
    <row r="101" spans="1:10">
      <c r="A101" s="42" t="s">
        <v>183</v>
      </c>
      <c r="B101" s="42" t="s">
        <v>184</v>
      </c>
      <c r="C101" s="42" t="s">
        <v>15</v>
      </c>
      <c r="D101" s="42" t="s">
        <v>12</v>
      </c>
      <c r="E101" s="42">
        <v>33275</v>
      </c>
      <c r="F101" s="42">
        <v>6655</v>
      </c>
      <c r="G101" s="42">
        <v>3400</v>
      </c>
      <c r="H101" s="42">
        <v>3993</v>
      </c>
      <c r="I101" s="42">
        <v>892</v>
      </c>
      <c r="J101" s="42">
        <v>38445</v>
      </c>
    </row>
    <row r="102" spans="1:10">
      <c r="A102" s="42" t="s">
        <v>185</v>
      </c>
      <c r="B102" s="42" t="s">
        <v>152</v>
      </c>
      <c r="C102" s="42" t="s">
        <v>15</v>
      </c>
      <c r="D102" s="42" t="s">
        <v>12</v>
      </c>
      <c r="E102" s="42">
        <v>36840</v>
      </c>
      <c r="F102" s="42">
        <v>7368</v>
      </c>
      <c r="G102" s="42">
        <v>1566</v>
      </c>
      <c r="H102" s="42">
        <v>4420</v>
      </c>
      <c r="I102" s="42">
        <v>951</v>
      </c>
      <c r="J102" s="42">
        <v>40403</v>
      </c>
    </row>
    <row r="103" spans="1:10">
      <c r="A103" s="42" t="s">
        <v>186</v>
      </c>
      <c r="B103" s="42" t="s">
        <v>187</v>
      </c>
      <c r="C103" s="42" t="s">
        <v>25</v>
      </c>
      <c r="D103" s="42" t="s">
        <v>36</v>
      </c>
      <c r="E103" s="42">
        <v>23879</v>
      </c>
      <c r="F103" s="42">
        <v>4775</v>
      </c>
      <c r="G103" s="42">
        <v>3648</v>
      </c>
      <c r="H103" s="42">
        <v>2865</v>
      </c>
      <c r="I103" s="42">
        <v>2560</v>
      </c>
      <c r="J103" s="42">
        <v>26877</v>
      </c>
    </row>
    <row r="104" spans="1:10">
      <c r="A104" s="42" t="s">
        <v>188</v>
      </c>
      <c r="B104" s="42" t="s">
        <v>18</v>
      </c>
      <c r="C104" s="42" t="s">
        <v>15</v>
      </c>
      <c r="D104" s="42" t="s">
        <v>22</v>
      </c>
      <c r="E104" s="42">
        <v>16613</v>
      </c>
      <c r="F104" s="42">
        <v>3322</v>
      </c>
      <c r="G104" s="42">
        <v>2518</v>
      </c>
      <c r="H104" s="42">
        <v>1993</v>
      </c>
      <c r="I104" s="42">
        <v>1278</v>
      </c>
      <c r="J104" s="42">
        <v>19182</v>
      </c>
    </row>
    <row r="105" spans="1:10">
      <c r="A105" s="42" t="s">
        <v>189</v>
      </c>
      <c r="B105" s="42" t="s">
        <v>38</v>
      </c>
      <c r="C105" s="42" t="s">
        <v>25</v>
      </c>
      <c r="D105" s="42" t="s">
        <v>28</v>
      </c>
      <c r="E105" s="42">
        <v>48204</v>
      </c>
      <c r="F105" s="42">
        <v>9640</v>
      </c>
      <c r="G105" s="42">
        <v>2771</v>
      </c>
      <c r="H105" s="42">
        <v>5784</v>
      </c>
      <c r="I105" s="42">
        <v>1118</v>
      </c>
      <c r="J105" s="42">
        <v>53713</v>
      </c>
    </row>
    <row r="106" spans="1:10">
      <c r="A106" s="42" t="s">
        <v>190</v>
      </c>
      <c r="B106" s="42" t="s">
        <v>126</v>
      </c>
      <c r="C106" s="42" t="s">
        <v>11</v>
      </c>
      <c r="D106" s="42" t="s">
        <v>28</v>
      </c>
      <c r="E106" s="42">
        <v>22581</v>
      </c>
      <c r="F106" s="42">
        <v>4516</v>
      </c>
      <c r="G106" s="42">
        <v>1528</v>
      </c>
      <c r="H106" s="42">
        <v>2709</v>
      </c>
      <c r="I106" s="42">
        <v>1639</v>
      </c>
      <c r="J106" s="42">
        <v>24277</v>
      </c>
    </row>
    <row r="107" spans="1:10">
      <c r="A107" s="42" t="s">
        <v>191</v>
      </c>
      <c r="B107" s="42" t="s">
        <v>48</v>
      </c>
      <c r="C107" s="42" t="s">
        <v>33</v>
      </c>
      <c r="D107" s="42" t="s">
        <v>36</v>
      </c>
      <c r="E107" s="42">
        <v>43259</v>
      </c>
      <c r="F107" s="42">
        <v>8651</v>
      </c>
      <c r="G107" s="42">
        <v>3764</v>
      </c>
      <c r="H107" s="42">
        <v>5191</v>
      </c>
      <c r="I107" s="42">
        <v>1145</v>
      </c>
      <c r="J107" s="42">
        <v>49338</v>
      </c>
    </row>
    <row r="108" spans="1:10">
      <c r="A108" s="42" t="s">
        <v>192</v>
      </c>
      <c r="B108" s="42" t="s">
        <v>62</v>
      </c>
      <c r="C108" s="42" t="s">
        <v>21</v>
      </c>
      <c r="D108" s="42" t="s">
        <v>16</v>
      </c>
      <c r="E108" s="42">
        <v>54689</v>
      </c>
      <c r="F108" s="42">
        <v>10937</v>
      </c>
      <c r="G108" s="42">
        <v>4211</v>
      </c>
      <c r="H108" s="42">
        <v>6562</v>
      </c>
      <c r="I108" s="42">
        <v>2548</v>
      </c>
      <c r="J108" s="42">
        <v>60727</v>
      </c>
    </row>
    <row r="109" spans="1:10">
      <c r="A109" s="42" t="s">
        <v>193</v>
      </c>
      <c r="B109" s="42" t="s">
        <v>143</v>
      </c>
      <c r="C109" s="42" t="s">
        <v>33</v>
      </c>
      <c r="D109" s="42" t="s">
        <v>22</v>
      </c>
      <c r="E109" s="42">
        <v>55145</v>
      </c>
      <c r="F109" s="42">
        <v>11029</v>
      </c>
      <c r="G109" s="42">
        <v>4126</v>
      </c>
      <c r="H109" s="42">
        <v>6617</v>
      </c>
      <c r="I109" s="42">
        <v>2824</v>
      </c>
      <c r="J109" s="42">
        <v>60859</v>
      </c>
    </row>
    <row r="110" spans="1:10">
      <c r="A110" s="42" t="s">
        <v>194</v>
      </c>
      <c r="B110" s="42" t="s">
        <v>174</v>
      </c>
      <c r="C110" s="42" t="s">
        <v>25</v>
      </c>
      <c r="D110" s="42" t="s">
        <v>22</v>
      </c>
      <c r="E110" s="42">
        <v>50491</v>
      </c>
      <c r="F110" s="42">
        <v>10098</v>
      </c>
      <c r="G110" s="42">
        <v>3852</v>
      </c>
      <c r="H110" s="42">
        <v>6058</v>
      </c>
      <c r="I110" s="42">
        <v>922</v>
      </c>
      <c r="J110" s="42">
        <v>57461</v>
      </c>
    </row>
    <row r="111" spans="1:10">
      <c r="A111" s="42" t="s">
        <v>195</v>
      </c>
      <c r="B111" s="42" t="s">
        <v>138</v>
      </c>
      <c r="C111" s="42" t="s">
        <v>33</v>
      </c>
      <c r="D111" s="42" t="s">
        <v>22</v>
      </c>
      <c r="E111" s="42">
        <v>53909</v>
      </c>
      <c r="F111" s="42">
        <v>10781</v>
      </c>
      <c r="G111" s="42">
        <v>3171</v>
      </c>
      <c r="H111" s="42">
        <v>6469</v>
      </c>
      <c r="I111" s="42">
        <v>2682</v>
      </c>
      <c r="J111" s="42">
        <v>58710</v>
      </c>
    </row>
    <row r="112" spans="1:10">
      <c r="A112" s="42" t="s">
        <v>196</v>
      </c>
      <c r="B112" s="42" t="s">
        <v>67</v>
      </c>
      <c r="C112" s="42" t="s">
        <v>25</v>
      </c>
      <c r="D112" s="42" t="s">
        <v>28</v>
      </c>
      <c r="E112" s="42">
        <v>16230</v>
      </c>
      <c r="F112" s="42">
        <v>3246</v>
      </c>
      <c r="G112" s="42">
        <v>4737</v>
      </c>
      <c r="H112" s="42">
        <v>1947</v>
      </c>
      <c r="I112" s="42">
        <v>1364</v>
      </c>
      <c r="J112" s="42">
        <v>20902</v>
      </c>
    </row>
    <row r="113" spans="1:10">
      <c r="A113" s="42" t="s">
        <v>197</v>
      </c>
      <c r="B113" s="42" t="s">
        <v>156</v>
      </c>
      <c r="C113" s="42" t="s">
        <v>21</v>
      </c>
      <c r="D113" s="42" t="s">
        <v>16</v>
      </c>
      <c r="E113" s="42">
        <v>20167</v>
      </c>
      <c r="F113" s="42">
        <v>4033</v>
      </c>
      <c r="G113" s="42">
        <v>3058</v>
      </c>
      <c r="H113" s="42">
        <v>2420</v>
      </c>
      <c r="I113" s="42">
        <v>2435</v>
      </c>
      <c r="J113" s="42">
        <v>22403</v>
      </c>
    </row>
    <row r="114" spans="1:10">
      <c r="A114" s="42" t="s">
        <v>198</v>
      </c>
      <c r="B114" s="42" t="s">
        <v>46</v>
      </c>
      <c r="C114" s="42" t="s">
        <v>11</v>
      </c>
      <c r="D114" s="42" t="s">
        <v>28</v>
      </c>
      <c r="E114" s="42">
        <v>41355</v>
      </c>
      <c r="F114" s="42">
        <v>8271</v>
      </c>
      <c r="G114" s="42">
        <v>4809</v>
      </c>
      <c r="H114" s="42">
        <v>4962</v>
      </c>
      <c r="I114" s="42">
        <v>940</v>
      </c>
      <c r="J114" s="42">
        <v>48533</v>
      </c>
    </row>
    <row r="115" spans="1:10">
      <c r="A115" s="42" t="s">
        <v>199</v>
      </c>
      <c r="B115" s="42" t="s">
        <v>200</v>
      </c>
      <c r="C115" s="42" t="s">
        <v>33</v>
      </c>
      <c r="D115" s="42" t="s">
        <v>16</v>
      </c>
      <c r="E115" s="42">
        <v>42998</v>
      </c>
      <c r="F115" s="42">
        <v>8599</v>
      </c>
      <c r="G115" s="42">
        <v>2549</v>
      </c>
      <c r="H115" s="42">
        <v>5159</v>
      </c>
      <c r="I115" s="42">
        <v>2580</v>
      </c>
      <c r="J115" s="42">
        <v>46407</v>
      </c>
    </row>
    <row r="116" spans="1:10">
      <c r="A116" s="42" t="s">
        <v>201</v>
      </c>
      <c r="B116" s="42" t="s">
        <v>95</v>
      </c>
      <c r="C116" s="42" t="s">
        <v>33</v>
      </c>
      <c r="D116" s="42" t="s">
        <v>16</v>
      </c>
      <c r="E116" s="42">
        <v>31672</v>
      </c>
      <c r="F116" s="42">
        <v>6334</v>
      </c>
      <c r="G116" s="42">
        <v>4247</v>
      </c>
      <c r="H116" s="42">
        <v>3800</v>
      </c>
      <c r="I116" s="42">
        <v>2002</v>
      </c>
      <c r="J116" s="42">
        <v>36451</v>
      </c>
    </row>
    <row r="117" spans="1:10">
      <c r="A117" s="42" t="s">
        <v>202</v>
      </c>
      <c r="B117" s="42" t="s">
        <v>48</v>
      </c>
      <c r="C117" s="42" t="s">
        <v>49</v>
      </c>
      <c r="D117" s="42" t="s">
        <v>16</v>
      </c>
      <c r="E117" s="42">
        <v>58145</v>
      </c>
      <c r="F117" s="42">
        <v>11629</v>
      </c>
      <c r="G117" s="42">
        <v>4369</v>
      </c>
      <c r="H117" s="42">
        <v>6977</v>
      </c>
      <c r="I117" s="42">
        <v>2332</v>
      </c>
      <c r="J117" s="42">
        <v>64834</v>
      </c>
    </row>
    <row r="118" spans="1:10">
      <c r="A118" s="42" t="s">
        <v>203</v>
      </c>
      <c r="B118" s="42" t="s">
        <v>204</v>
      </c>
      <c r="C118" s="42" t="s">
        <v>33</v>
      </c>
      <c r="D118" s="42" t="s">
        <v>28</v>
      </c>
      <c r="E118" s="42">
        <v>35968</v>
      </c>
      <c r="F118" s="42">
        <v>7193</v>
      </c>
      <c r="G118" s="42">
        <v>4177</v>
      </c>
      <c r="H118" s="42">
        <v>4316</v>
      </c>
      <c r="I118" s="42">
        <v>2962</v>
      </c>
      <c r="J118" s="42">
        <v>40060</v>
      </c>
    </row>
    <row r="119" spans="1:10">
      <c r="A119" s="42" t="s">
        <v>205</v>
      </c>
      <c r="B119" s="42" t="s">
        <v>206</v>
      </c>
      <c r="C119" s="42" t="s">
        <v>33</v>
      </c>
      <c r="D119" s="42" t="s">
        <v>28</v>
      </c>
      <c r="E119" s="42">
        <v>56069</v>
      </c>
      <c r="F119" s="42">
        <v>11213</v>
      </c>
      <c r="G119" s="42">
        <v>3149</v>
      </c>
      <c r="H119" s="42">
        <v>6728</v>
      </c>
      <c r="I119" s="42">
        <v>1826</v>
      </c>
      <c r="J119" s="42">
        <v>61877</v>
      </c>
    </row>
    <row r="120" spans="1:10">
      <c r="A120" s="42" t="s">
        <v>207</v>
      </c>
      <c r="B120" s="42" t="s">
        <v>184</v>
      </c>
      <c r="C120" s="42" t="s">
        <v>15</v>
      </c>
      <c r="D120" s="42" t="s">
        <v>12</v>
      </c>
      <c r="E120" s="42">
        <v>26258</v>
      </c>
      <c r="F120" s="42">
        <v>5251</v>
      </c>
      <c r="G120" s="42">
        <v>3620</v>
      </c>
      <c r="H120" s="42">
        <v>3150</v>
      </c>
      <c r="I120" s="42">
        <v>507</v>
      </c>
      <c r="J120" s="42">
        <v>31472</v>
      </c>
    </row>
    <row r="121" spans="1:10">
      <c r="A121" s="42" t="s">
        <v>208</v>
      </c>
      <c r="B121" s="42" t="s">
        <v>209</v>
      </c>
      <c r="C121" s="42" t="s">
        <v>21</v>
      </c>
      <c r="D121" s="42" t="s">
        <v>22</v>
      </c>
      <c r="E121" s="42">
        <v>33144</v>
      </c>
      <c r="F121" s="42">
        <v>6628</v>
      </c>
      <c r="G121" s="42">
        <v>4997</v>
      </c>
      <c r="H121" s="42">
        <v>3977</v>
      </c>
      <c r="I121" s="42">
        <v>1438</v>
      </c>
      <c r="J121" s="42">
        <v>39354</v>
      </c>
    </row>
    <row r="122" spans="1:10">
      <c r="A122" s="42" t="s">
        <v>210</v>
      </c>
      <c r="B122" s="42" t="s">
        <v>177</v>
      </c>
      <c r="C122" s="42" t="s">
        <v>49</v>
      </c>
      <c r="D122" s="42" t="s">
        <v>22</v>
      </c>
      <c r="E122" s="42">
        <v>57694</v>
      </c>
      <c r="F122" s="42">
        <v>11538</v>
      </c>
      <c r="G122" s="42">
        <v>4034</v>
      </c>
      <c r="H122" s="42">
        <v>6923</v>
      </c>
      <c r="I122" s="42">
        <v>2056</v>
      </c>
      <c r="J122" s="42">
        <v>64287</v>
      </c>
    </row>
    <row r="123" spans="1:10">
      <c r="A123" s="42" t="s">
        <v>211</v>
      </c>
      <c r="B123" s="42" t="s">
        <v>120</v>
      </c>
      <c r="C123" s="42" t="s">
        <v>33</v>
      </c>
      <c r="D123" s="42" t="s">
        <v>16</v>
      </c>
      <c r="E123" s="42">
        <v>22293</v>
      </c>
      <c r="F123" s="42">
        <v>4458</v>
      </c>
      <c r="G123" s="42">
        <v>2401</v>
      </c>
      <c r="H123" s="42">
        <v>2675</v>
      </c>
      <c r="I123" s="42">
        <v>2672</v>
      </c>
      <c r="J123" s="42">
        <v>23805</v>
      </c>
    </row>
    <row r="124" spans="1:10">
      <c r="A124" s="42" t="s">
        <v>212</v>
      </c>
      <c r="B124" s="42" t="s">
        <v>213</v>
      </c>
      <c r="C124" s="42" t="s">
        <v>11</v>
      </c>
      <c r="D124" s="42" t="s">
        <v>28</v>
      </c>
      <c r="E124" s="42">
        <v>55922</v>
      </c>
      <c r="F124" s="42">
        <v>11184</v>
      </c>
      <c r="G124" s="42">
        <v>1414</v>
      </c>
      <c r="H124" s="42">
        <v>6710</v>
      </c>
      <c r="I124" s="42">
        <v>2072</v>
      </c>
      <c r="J124" s="42">
        <v>59738</v>
      </c>
    </row>
    <row r="125" spans="1:10">
      <c r="A125" s="42" t="s">
        <v>214</v>
      </c>
      <c r="B125" s="42" t="s">
        <v>58</v>
      </c>
      <c r="C125" s="42" t="s">
        <v>11</v>
      </c>
      <c r="D125" s="42" t="s">
        <v>12</v>
      </c>
      <c r="E125" s="42">
        <v>44515</v>
      </c>
      <c r="F125" s="42">
        <v>8903</v>
      </c>
      <c r="G125" s="42">
        <v>4534</v>
      </c>
      <c r="H125" s="42">
        <v>5341</v>
      </c>
      <c r="I125" s="42">
        <v>2003</v>
      </c>
      <c r="J125" s="42">
        <v>50608</v>
      </c>
    </row>
    <row r="126" spans="1:10">
      <c r="A126" s="42" t="s">
        <v>215</v>
      </c>
      <c r="B126" s="42" t="s">
        <v>14</v>
      </c>
      <c r="C126" s="42" t="s">
        <v>33</v>
      </c>
      <c r="D126" s="42" t="s">
        <v>12</v>
      </c>
      <c r="E126" s="42">
        <v>56705</v>
      </c>
      <c r="F126" s="42">
        <v>11341</v>
      </c>
      <c r="G126" s="42">
        <v>4249</v>
      </c>
      <c r="H126" s="42">
        <v>6804</v>
      </c>
      <c r="I126" s="42">
        <v>2981</v>
      </c>
      <c r="J126" s="42">
        <v>62510</v>
      </c>
    </row>
    <row r="127" spans="1:10">
      <c r="A127" s="42" t="s">
        <v>216</v>
      </c>
      <c r="B127" s="42" t="s">
        <v>217</v>
      </c>
      <c r="C127" s="42" t="s">
        <v>33</v>
      </c>
      <c r="D127" s="42" t="s">
        <v>16</v>
      </c>
      <c r="E127" s="42">
        <v>46843</v>
      </c>
      <c r="F127" s="42">
        <v>9368</v>
      </c>
      <c r="G127" s="42">
        <v>3385</v>
      </c>
      <c r="H127" s="42">
        <v>5621</v>
      </c>
      <c r="I127" s="42">
        <v>2653</v>
      </c>
      <c r="J127" s="42">
        <v>51322</v>
      </c>
    </row>
    <row r="128" spans="1:10">
      <c r="A128" s="42" t="s">
        <v>218</v>
      </c>
      <c r="B128" s="42" t="s">
        <v>156</v>
      </c>
      <c r="C128" s="42" t="s">
        <v>11</v>
      </c>
      <c r="D128" s="42" t="s">
        <v>12</v>
      </c>
      <c r="E128" s="42">
        <v>18999</v>
      </c>
      <c r="F128" s="42">
        <v>3799</v>
      </c>
      <c r="G128" s="42">
        <v>3165</v>
      </c>
      <c r="H128" s="42">
        <v>2279</v>
      </c>
      <c r="I128" s="42">
        <v>1250</v>
      </c>
      <c r="J128" s="42">
        <v>22434</v>
      </c>
    </row>
    <row r="129" spans="1:10">
      <c r="A129" s="42" t="s">
        <v>219</v>
      </c>
      <c r="B129" s="42" t="s">
        <v>220</v>
      </c>
      <c r="C129" s="42" t="s">
        <v>25</v>
      </c>
      <c r="D129" s="42" t="s">
        <v>28</v>
      </c>
      <c r="E129" s="42">
        <v>34794</v>
      </c>
      <c r="F129" s="42">
        <v>6958</v>
      </c>
      <c r="G129" s="42">
        <v>1385</v>
      </c>
      <c r="H129" s="42">
        <v>4175</v>
      </c>
      <c r="I129" s="42">
        <v>1147</v>
      </c>
      <c r="J129" s="42">
        <v>37815</v>
      </c>
    </row>
    <row r="130" spans="1:10">
      <c r="A130" s="42" t="s">
        <v>221</v>
      </c>
      <c r="B130" s="42" t="s">
        <v>222</v>
      </c>
      <c r="C130" s="42" t="s">
        <v>15</v>
      </c>
      <c r="D130" s="42" t="s">
        <v>16</v>
      </c>
      <c r="E130" s="42">
        <v>41227</v>
      </c>
      <c r="F130" s="42">
        <v>8245</v>
      </c>
      <c r="G130" s="42">
        <v>4368</v>
      </c>
      <c r="H130" s="42">
        <v>4947</v>
      </c>
      <c r="I130" s="42">
        <v>917</v>
      </c>
      <c r="J130" s="42">
        <v>47976</v>
      </c>
    </row>
    <row r="131" spans="1:10">
      <c r="A131" s="42" t="s">
        <v>223</v>
      </c>
      <c r="B131" s="42" t="s">
        <v>206</v>
      </c>
      <c r="C131" s="42" t="s">
        <v>25</v>
      </c>
      <c r="D131" s="42" t="s">
        <v>12</v>
      </c>
      <c r="E131" s="42">
        <v>16306</v>
      </c>
      <c r="F131" s="42">
        <v>3261</v>
      </c>
      <c r="G131" s="42">
        <v>2178</v>
      </c>
      <c r="H131" s="42">
        <v>1956</v>
      </c>
      <c r="I131" s="42">
        <v>1732</v>
      </c>
      <c r="J131" s="42">
        <v>18057</v>
      </c>
    </row>
    <row r="132" spans="1:10">
      <c r="A132" s="42" t="s">
        <v>224</v>
      </c>
      <c r="B132" s="42" t="s">
        <v>171</v>
      </c>
      <c r="C132" s="42" t="s">
        <v>15</v>
      </c>
      <c r="D132" s="42" t="s">
        <v>36</v>
      </c>
      <c r="E132" s="42">
        <v>33930</v>
      </c>
      <c r="F132" s="42">
        <v>6786</v>
      </c>
      <c r="G132" s="42">
        <v>3247</v>
      </c>
      <c r="H132" s="42">
        <v>4071</v>
      </c>
      <c r="I132" s="42">
        <v>1528</v>
      </c>
      <c r="J132" s="42">
        <v>38364</v>
      </c>
    </row>
    <row r="133" spans="1:10">
      <c r="A133" s="42" t="s">
        <v>225</v>
      </c>
      <c r="B133" s="42" t="s">
        <v>87</v>
      </c>
      <c r="C133" s="42" t="s">
        <v>49</v>
      </c>
      <c r="D133" s="42" t="s">
        <v>28</v>
      </c>
      <c r="E133" s="42">
        <v>19448</v>
      </c>
      <c r="F133" s="42">
        <v>3889</v>
      </c>
      <c r="G133" s="42">
        <v>4435</v>
      </c>
      <c r="H133" s="42">
        <v>2333</v>
      </c>
      <c r="I133" s="42">
        <v>589</v>
      </c>
      <c r="J133" s="42">
        <v>24850</v>
      </c>
    </row>
    <row r="134" spans="1:10">
      <c r="A134" s="42" t="s">
        <v>226</v>
      </c>
      <c r="B134" s="42" t="s">
        <v>73</v>
      </c>
      <c r="C134" s="42" t="s">
        <v>49</v>
      </c>
      <c r="D134" s="42" t="s">
        <v>22</v>
      </c>
      <c r="E134" s="42">
        <v>29985</v>
      </c>
      <c r="F134" s="42">
        <v>5997</v>
      </c>
      <c r="G134" s="42">
        <v>2891</v>
      </c>
      <c r="H134" s="42">
        <v>3598</v>
      </c>
      <c r="I134" s="42">
        <v>1084</v>
      </c>
      <c r="J134" s="42">
        <v>34191</v>
      </c>
    </row>
    <row r="135" spans="1:10">
      <c r="A135" s="42" t="s">
        <v>227</v>
      </c>
      <c r="B135" s="42" t="s">
        <v>62</v>
      </c>
      <c r="C135" s="42" t="s">
        <v>21</v>
      </c>
      <c r="D135" s="42" t="s">
        <v>36</v>
      </c>
      <c r="E135" s="42">
        <v>54718</v>
      </c>
      <c r="F135" s="42">
        <v>10943</v>
      </c>
      <c r="G135" s="42">
        <v>3992</v>
      </c>
      <c r="H135" s="42">
        <v>6566</v>
      </c>
      <c r="I135" s="42">
        <v>2074</v>
      </c>
      <c r="J135" s="42">
        <v>61013</v>
      </c>
    </row>
    <row r="136" spans="1:10">
      <c r="A136" s="42" t="s">
        <v>228</v>
      </c>
      <c r="B136" s="42" t="s">
        <v>156</v>
      </c>
      <c r="C136" s="42" t="s">
        <v>21</v>
      </c>
      <c r="D136" s="42" t="s">
        <v>36</v>
      </c>
      <c r="E136" s="42">
        <v>49315</v>
      </c>
      <c r="F136" s="42">
        <v>9863</v>
      </c>
      <c r="G136" s="42">
        <v>4090</v>
      </c>
      <c r="H136" s="42">
        <v>5917</v>
      </c>
      <c r="I136" s="42">
        <v>1378</v>
      </c>
      <c r="J136" s="42">
        <v>55973</v>
      </c>
    </row>
    <row r="137" spans="1:10">
      <c r="A137" s="42" t="s">
        <v>229</v>
      </c>
      <c r="B137" s="42" t="s">
        <v>97</v>
      </c>
      <c r="C137" s="42" t="s">
        <v>49</v>
      </c>
      <c r="D137" s="42" t="s">
        <v>28</v>
      </c>
      <c r="E137" s="42">
        <v>34443</v>
      </c>
      <c r="F137" s="42">
        <v>6888</v>
      </c>
      <c r="G137" s="42">
        <v>1580</v>
      </c>
      <c r="H137" s="42">
        <v>4133</v>
      </c>
      <c r="I137" s="42">
        <v>2147</v>
      </c>
      <c r="J137" s="42">
        <v>36631</v>
      </c>
    </row>
    <row r="138" spans="1:10">
      <c r="A138" s="42" t="s">
        <v>230</v>
      </c>
      <c r="B138" s="42" t="s">
        <v>231</v>
      </c>
      <c r="C138" s="42" t="s">
        <v>15</v>
      </c>
      <c r="D138" s="42" t="s">
        <v>22</v>
      </c>
      <c r="E138" s="42">
        <v>15724</v>
      </c>
      <c r="F138" s="42">
        <v>3144</v>
      </c>
      <c r="G138" s="42">
        <v>4795</v>
      </c>
      <c r="H138" s="42">
        <v>1886</v>
      </c>
      <c r="I138" s="42">
        <v>2813</v>
      </c>
      <c r="J138" s="42">
        <v>18964</v>
      </c>
    </row>
    <row r="139" spans="1:10">
      <c r="A139" s="42" t="s">
        <v>232</v>
      </c>
      <c r="B139" s="42" t="s">
        <v>233</v>
      </c>
      <c r="C139" s="42" t="s">
        <v>21</v>
      </c>
      <c r="D139" s="42" t="s">
        <v>36</v>
      </c>
      <c r="E139" s="42">
        <v>51541</v>
      </c>
      <c r="F139" s="42">
        <v>10308</v>
      </c>
      <c r="G139" s="42">
        <v>2523</v>
      </c>
      <c r="H139" s="42">
        <v>6184</v>
      </c>
      <c r="I139" s="42">
        <v>1836</v>
      </c>
      <c r="J139" s="42">
        <v>56352</v>
      </c>
    </row>
    <row r="140" spans="1:10">
      <c r="A140" s="42" t="s">
        <v>234</v>
      </c>
      <c r="B140" s="42" t="s">
        <v>100</v>
      </c>
      <c r="C140" s="42" t="s">
        <v>33</v>
      </c>
      <c r="D140" s="42" t="s">
        <v>36</v>
      </c>
      <c r="E140" s="42">
        <v>50182</v>
      </c>
      <c r="F140" s="42">
        <v>10036</v>
      </c>
      <c r="G140" s="42">
        <v>1905</v>
      </c>
      <c r="H140" s="42">
        <v>6021</v>
      </c>
      <c r="I140" s="42">
        <v>2091</v>
      </c>
      <c r="J140" s="42">
        <v>54011</v>
      </c>
    </row>
    <row r="141" spans="1:10">
      <c r="A141" s="42" t="s">
        <v>235</v>
      </c>
      <c r="B141" s="42" t="s">
        <v>236</v>
      </c>
      <c r="C141" s="42" t="s">
        <v>33</v>
      </c>
      <c r="D141" s="42" t="s">
        <v>16</v>
      </c>
      <c r="E141" s="42">
        <v>15366</v>
      </c>
      <c r="F141" s="42">
        <v>3073</v>
      </c>
      <c r="G141" s="42">
        <v>3471</v>
      </c>
      <c r="H141" s="42">
        <v>1843</v>
      </c>
      <c r="I141" s="42">
        <v>1159</v>
      </c>
      <c r="J141" s="42">
        <v>18908</v>
      </c>
    </row>
    <row r="142" spans="1:10">
      <c r="A142" s="42" t="s">
        <v>237</v>
      </c>
      <c r="B142" s="42" t="s">
        <v>171</v>
      </c>
      <c r="C142" s="42" t="s">
        <v>33</v>
      </c>
      <c r="D142" s="42" t="s">
        <v>36</v>
      </c>
      <c r="E142" s="42">
        <v>19489</v>
      </c>
      <c r="F142" s="42">
        <v>3897</v>
      </c>
      <c r="G142" s="42">
        <v>1087</v>
      </c>
      <c r="H142" s="42">
        <v>2338</v>
      </c>
      <c r="I142" s="42">
        <v>2608</v>
      </c>
      <c r="J142" s="42">
        <v>19527</v>
      </c>
    </row>
    <row r="143" spans="1:10">
      <c r="A143" s="42" t="s">
        <v>238</v>
      </c>
      <c r="B143" s="42" t="s">
        <v>107</v>
      </c>
      <c r="C143" s="42" t="s">
        <v>49</v>
      </c>
      <c r="D143" s="42" t="s">
        <v>28</v>
      </c>
      <c r="E143" s="42">
        <v>51646</v>
      </c>
      <c r="F143" s="42">
        <v>10329</v>
      </c>
      <c r="G143" s="42">
        <v>1840</v>
      </c>
      <c r="H143" s="42">
        <v>6197</v>
      </c>
      <c r="I143" s="42">
        <v>579</v>
      </c>
      <c r="J143" s="42">
        <v>57039</v>
      </c>
    </row>
    <row r="144" spans="1:10">
      <c r="A144" s="42" t="s">
        <v>239</v>
      </c>
      <c r="B144" s="42" t="s">
        <v>164</v>
      </c>
      <c r="C144" s="42" t="s">
        <v>21</v>
      </c>
      <c r="D144" s="42" t="s">
        <v>28</v>
      </c>
      <c r="E144" s="42">
        <v>54354</v>
      </c>
      <c r="F144" s="42">
        <v>10870</v>
      </c>
      <c r="G144" s="42">
        <v>2997</v>
      </c>
      <c r="H144" s="42">
        <v>6522</v>
      </c>
      <c r="I144" s="42">
        <v>1083</v>
      </c>
      <c r="J144" s="42">
        <v>60616</v>
      </c>
    </row>
    <row r="145" spans="1:10">
      <c r="A145" s="42" t="s">
        <v>240</v>
      </c>
      <c r="B145" s="42" t="s">
        <v>67</v>
      </c>
      <c r="C145" s="42" t="s">
        <v>33</v>
      </c>
      <c r="D145" s="42" t="s">
        <v>12</v>
      </c>
      <c r="E145" s="42">
        <v>26351</v>
      </c>
      <c r="F145" s="42">
        <v>5270</v>
      </c>
      <c r="G145" s="42">
        <v>3438</v>
      </c>
      <c r="H145" s="42">
        <v>3162</v>
      </c>
      <c r="I145" s="42">
        <v>1878</v>
      </c>
      <c r="J145" s="42">
        <v>30019</v>
      </c>
    </row>
    <row r="146" spans="1:10">
      <c r="A146" s="42" t="s">
        <v>241</v>
      </c>
      <c r="B146" s="42" t="s">
        <v>236</v>
      </c>
      <c r="C146" s="42" t="s">
        <v>25</v>
      </c>
      <c r="D146" s="42" t="s">
        <v>22</v>
      </c>
      <c r="E146" s="42">
        <v>43339</v>
      </c>
      <c r="F146" s="42">
        <v>8667</v>
      </c>
      <c r="G146" s="42">
        <v>4867</v>
      </c>
      <c r="H146" s="42">
        <v>5200</v>
      </c>
      <c r="I146" s="42">
        <v>777</v>
      </c>
      <c r="J146" s="42">
        <v>50896</v>
      </c>
    </row>
    <row r="147" spans="1:10">
      <c r="A147" s="42" t="s">
        <v>242</v>
      </c>
      <c r="B147" s="42" t="s">
        <v>177</v>
      </c>
      <c r="C147" s="42" t="s">
        <v>25</v>
      </c>
      <c r="D147" s="42" t="s">
        <v>28</v>
      </c>
      <c r="E147" s="42">
        <v>29971</v>
      </c>
      <c r="F147" s="42">
        <v>5994</v>
      </c>
      <c r="G147" s="42">
        <v>3256</v>
      </c>
      <c r="H147" s="42">
        <v>3596</v>
      </c>
      <c r="I147" s="42">
        <v>1257</v>
      </c>
      <c r="J147" s="42">
        <v>34368</v>
      </c>
    </row>
    <row r="148" spans="1:10">
      <c r="A148" s="42" t="s">
        <v>243</v>
      </c>
      <c r="B148" s="42" t="s">
        <v>171</v>
      </c>
      <c r="C148" s="42" t="s">
        <v>15</v>
      </c>
      <c r="D148" s="42" t="s">
        <v>16</v>
      </c>
      <c r="E148" s="42">
        <v>39817</v>
      </c>
      <c r="F148" s="42">
        <v>7963</v>
      </c>
      <c r="G148" s="42">
        <v>3972</v>
      </c>
      <c r="H148" s="42">
        <v>4778</v>
      </c>
      <c r="I148" s="42">
        <v>1708</v>
      </c>
      <c r="J148" s="42">
        <v>45266</v>
      </c>
    </row>
    <row r="149" spans="1:10">
      <c r="A149" s="42" t="s">
        <v>244</v>
      </c>
      <c r="B149" s="42" t="s">
        <v>174</v>
      </c>
      <c r="C149" s="42" t="s">
        <v>11</v>
      </c>
      <c r="D149" s="42" t="s">
        <v>22</v>
      </c>
      <c r="E149" s="42">
        <v>19806</v>
      </c>
      <c r="F149" s="42">
        <v>3961</v>
      </c>
      <c r="G149" s="42">
        <v>3601</v>
      </c>
      <c r="H149" s="42">
        <v>2376</v>
      </c>
      <c r="I149" s="42">
        <v>2818</v>
      </c>
      <c r="J149" s="42">
        <v>22174</v>
      </c>
    </row>
    <row r="150" spans="1:10">
      <c r="A150" s="42" t="s">
        <v>245</v>
      </c>
      <c r="B150" s="42" t="s">
        <v>109</v>
      </c>
      <c r="C150" s="42" t="s">
        <v>21</v>
      </c>
      <c r="D150" s="42" t="s">
        <v>16</v>
      </c>
      <c r="E150" s="42">
        <v>21484</v>
      </c>
      <c r="F150" s="42">
        <v>4296</v>
      </c>
      <c r="G150" s="42">
        <v>3006</v>
      </c>
      <c r="H150" s="42">
        <v>2578</v>
      </c>
      <c r="I150" s="42">
        <v>2889</v>
      </c>
      <c r="J150" s="42">
        <v>23319</v>
      </c>
    </row>
    <row r="151" spans="1:10">
      <c r="A151" s="42" t="s">
        <v>246</v>
      </c>
      <c r="B151" s="42" t="s">
        <v>152</v>
      </c>
      <c r="C151" s="42" t="s">
        <v>21</v>
      </c>
      <c r="D151" s="42" t="s">
        <v>16</v>
      </c>
      <c r="E151" s="42">
        <v>45604</v>
      </c>
      <c r="F151" s="42">
        <v>9120</v>
      </c>
      <c r="G151" s="42">
        <v>2993</v>
      </c>
      <c r="H151" s="42">
        <v>5472</v>
      </c>
      <c r="I151" s="42">
        <v>2564</v>
      </c>
      <c r="J151" s="42">
        <v>49681</v>
      </c>
    </row>
    <row r="152" spans="1:10">
      <c r="A152" s="42" t="s">
        <v>247</v>
      </c>
      <c r="B152" s="42" t="s">
        <v>104</v>
      </c>
      <c r="C152" s="42" t="s">
        <v>11</v>
      </c>
      <c r="D152" s="42" t="s">
        <v>22</v>
      </c>
      <c r="E152" s="42">
        <v>58437</v>
      </c>
      <c r="F152" s="42">
        <v>11687</v>
      </c>
      <c r="G152" s="42">
        <v>4184</v>
      </c>
      <c r="H152" s="42">
        <v>7012</v>
      </c>
      <c r="I152" s="42">
        <v>1655</v>
      </c>
      <c r="J152" s="42">
        <v>65641</v>
      </c>
    </row>
    <row r="153" spans="1:10">
      <c r="A153" s="42" t="s">
        <v>248</v>
      </c>
      <c r="B153" s="42" t="s">
        <v>79</v>
      </c>
      <c r="C153" s="42" t="s">
        <v>11</v>
      </c>
      <c r="D153" s="42" t="s">
        <v>12</v>
      </c>
      <c r="E153" s="42">
        <v>58014</v>
      </c>
      <c r="F153" s="42">
        <v>11602</v>
      </c>
      <c r="G153" s="42">
        <v>2075</v>
      </c>
      <c r="H153" s="42">
        <v>6961</v>
      </c>
      <c r="I153" s="42">
        <v>2240</v>
      </c>
      <c r="J153" s="42">
        <v>62490</v>
      </c>
    </row>
    <row r="154" spans="1:10">
      <c r="A154" s="42" t="s">
        <v>249</v>
      </c>
      <c r="B154" s="42" t="s">
        <v>143</v>
      </c>
      <c r="C154" s="42" t="s">
        <v>25</v>
      </c>
      <c r="D154" s="42" t="s">
        <v>12</v>
      </c>
      <c r="E154" s="42">
        <v>26143</v>
      </c>
      <c r="F154" s="42">
        <v>5228</v>
      </c>
      <c r="G154" s="42">
        <v>4237</v>
      </c>
      <c r="H154" s="42">
        <v>3137</v>
      </c>
      <c r="I154" s="42">
        <v>2907</v>
      </c>
      <c r="J154" s="42">
        <v>29564</v>
      </c>
    </row>
    <row r="155" spans="1:10">
      <c r="A155" s="42" t="s">
        <v>250</v>
      </c>
      <c r="B155" s="42" t="s">
        <v>62</v>
      </c>
      <c r="C155" s="42" t="s">
        <v>49</v>
      </c>
      <c r="D155" s="42" t="s">
        <v>22</v>
      </c>
      <c r="E155" s="42">
        <v>28719</v>
      </c>
      <c r="F155" s="42">
        <v>5743</v>
      </c>
      <c r="G155" s="42">
        <v>2488</v>
      </c>
      <c r="H155" s="42">
        <v>3446</v>
      </c>
      <c r="I155" s="42">
        <v>1341</v>
      </c>
      <c r="J155" s="42">
        <v>32163</v>
      </c>
    </row>
    <row r="156" spans="1:10">
      <c r="A156" s="42" t="s">
        <v>251</v>
      </c>
      <c r="B156" s="42" t="s">
        <v>27</v>
      </c>
      <c r="C156" s="42" t="s">
        <v>33</v>
      </c>
      <c r="D156" s="42" t="s">
        <v>12</v>
      </c>
      <c r="E156" s="42">
        <v>29327</v>
      </c>
      <c r="F156" s="42">
        <v>5865</v>
      </c>
      <c r="G156" s="42">
        <v>4697</v>
      </c>
      <c r="H156" s="42">
        <v>3519</v>
      </c>
      <c r="I156" s="42">
        <v>2741</v>
      </c>
      <c r="J156" s="42">
        <v>33629</v>
      </c>
    </row>
    <row r="157" spans="1:10">
      <c r="A157" s="42" t="s">
        <v>252</v>
      </c>
      <c r="B157" s="42" t="s">
        <v>135</v>
      </c>
      <c r="C157" s="42" t="s">
        <v>49</v>
      </c>
      <c r="D157" s="42" t="s">
        <v>28</v>
      </c>
      <c r="E157" s="42">
        <v>29075</v>
      </c>
      <c r="F157" s="42">
        <v>5815</v>
      </c>
      <c r="G157" s="42">
        <v>1144</v>
      </c>
      <c r="H157" s="42">
        <v>3489</v>
      </c>
      <c r="I157" s="42">
        <v>1843</v>
      </c>
      <c r="J157" s="42">
        <v>30702</v>
      </c>
    </row>
    <row r="158" spans="1:10">
      <c r="A158" s="42" t="s">
        <v>253</v>
      </c>
      <c r="B158" s="42" t="s">
        <v>254</v>
      </c>
      <c r="C158" s="42" t="s">
        <v>49</v>
      </c>
      <c r="D158" s="42" t="s">
        <v>22</v>
      </c>
      <c r="E158" s="42">
        <v>32293</v>
      </c>
      <c r="F158" s="42">
        <v>6458</v>
      </c>
      <c r="G158" s="42">
        <v>4325</v>
      </c>
      <c r="H158" s="42">
        <v>3875</v>
      </c>
      <c r="I158" s="42">
        <v>2146</v>
      </c>
      <c r="J158" s="42">
        <v>37055</v>
      </c>
    </row>
    <row r="159" spans="1:10">
      <c r="A159" s="42" t="s">
        <v>255</v>
      </c>
      <c r="B159" s="42" t="s">
        <v>213</v>
      </c>
      <c r="C159" s="42" t="s">
        <v>33</v>
      </c>
      <c r="D159" s="42" t="s">
        <v>36</v>
      </c>
      <c r="E159" s="42">
        <v>24608</v>
      </c>
      <c r="F159" s="42">
        <v>4921</v>
      </c>
      <c r="G159" s="42">
        <v>3746</v>
      </c>
      <c r="H159" s="42">
        <v>2952</v>
      </c>
      <c r="I159" s="42">
        <v>1344</v>
      </c>
      <c r="J159" s="42">
        <v>28979</v>
      </c>
    </row>
    <row r="160" spans="1:10">
      <c r="A160" s="42" t="s">
        <v>256</v>
      </c>
      <c r="B160" s="42" t="s">
        <v>24</v>
      </c>
      <c r="C160" s="42" t="s">
        <v>21</v>
      </c>
      <c r="D160" s="42" t="s">
        <v>12</v>
      </c>
      <c r="E160" s="42">
        <v>15611</v>
      </c>
      <c r="F160" s="42">
        <v>3122</v>
      </c>
      <c r="G160" s="42">
        <v>3014</v>
      </c>
      <c r="H160" s="42">
        <v>1873</v>
      </c>
      <c r="I160" s="42">
        <v>1904</v>
      </c>
      <c r="J160" s="42">
        <v>17970</v>
      </c>
    </row>
    <row r="161" spans="1:10">
      <c r="A161" s="42" t="s">
        <v>257</v>
      </c>
      <c r="B161" s="42" t="s">
        <v>77</v>
      </c>
      <c r="C161" s="42" t="s">
        <v>33</v>
      </c>
      <c r="D161" s="42" t="s">
        <v>12</v>
      </c>
      <c r="E161" s="42">
        <v>50006</v>
      </c>
      <c r="F161" s="42">
        <v>10001</v>
      </c>
      <c r="G161" s="42">
        <v>2393</v>
      </c>
      <c r="H161" s="42">
        <v>6000</v>
      </c>
      <c r="I161" s="42">
        <v>1082</v>
      </c>
      <c r="J161" s="42">
        <v>55318</v>
      </c>
    </row>
    <row r="162" spans="1:10">
      <c r="A162" s="42" t="s">
        <v>258</v>
      </c>
      <c r="B162" s="42" t="s">
        <v>177</v>
      </c>
      <c r="C162" s="42" t="s">
        <v>21</v>
      </c>
      <c r="D162" s="42" t="s">
        <v>22</v>
      </c>
      <c r="E162" s="42">
        <v>40593</v>
      </c>
      <c r="F162" s="42">
        <v>8118</v>
      </c>
      <c r="G162" s="42">
        <v>1480</v>
      </c>
      <c r="H162" s="42">
        <v>4871</v>
      </c>
      <c r="I162" s="42">
        <v>1002</v>
      </c>
      <c r="J162" s="42">
        <v>44318</v>
      </c>
    </row>
    <row r="163" spans="1:10">
      <c r="A163" s="42" t="s">
        <v>259</v>
      </c>
      <c r="B163" s="42" t="s">
        <v>38</v>
      </c>
      <c r="C163" s="42" t="s">
        <v>21</v>
      </c>
      <c r="D163" s="42" t="s">
        <v>28</v>
      </c>
      <c r="E163" s="42">
        <v>30719</v>
      </c>
      <c r="F163" s="42">
        <v>6143</v>
      </c>
      <c r="G163" s="42">
        <v>3053</v>
      </c>
      <c r="H163" s="42">
        <v>3686</v>
      </c>
      <c r="I163" s="42">
        <v>1032</v>
      </c>
      <c r="J163" s="42">
        <v>35197</v>
      </c>
    </row>
    <row r="164" spans="1:10">
      <c r="A164" s="42" t="s">
        <v>260</v>
      </c>
      <c r="B164" s="42" t="s">
        <v>42</v>
      </c>
      <c r="C164" s="42" t="s">
        <v>33</v>
      </c>
      <c r="D164" s="42" t="s">
        <v>12</v>
      </c>
      <c r="E164" s="42">
        <v>51774</v>
      </c>
      <c r="F164" s="42">
        <v>10354</v>
      </c>
      <c r="G164" s="42">
        <v>2932</v>
      </c>
      <c r="H164" s="42">
        <v>6212</v>
      </c>
      <c r="I164" s="42">
        <v>687</v>
      </c>
      <c r="J164" s="42">
        <v>58161</v>
      </c>
    </row>
    <row r="165" spans="1:10">
      <c r="A165" s="42" t="s">
        <v>261</v>
      </c>
      <c r="B165" s="42" t="s">
        <v>262</v>
      </c>
      <c r="C165" s="42" t="s">
        <v>49</v>
      </c>
      <c r="D165" s="42" t="s">
        <v>36</v>
      </c>
      <c r="E165" s="42">
        <v>54842</v>
      </c>
      <c r="F165" s="42">
        <v>10968</v>
      </c>
      <c r="G165" s="42">
        <v>1151</v>
      </c>
      <c r="H165" s="42">
        <v>6581</v>
      </c>
      <c r="I165" s="42">
        <v>2318</v>
      </c>
      <c r="J165" s="42">
        <v>58062</v>
      </c>
    </row>
    <row r="166" spans="1:10">
      <c r="A166" s="42" t="s">
        <v>263</v>
      </c>
      <c r="B166" s="42" t="s">
        <v>143</v>
      </c>
      <c r="C166" s="42" t="s">
        <v>11</v>
      </c>
      <c r="D166" s="42" t="s">
        <v>28</v>
      </c>
      <c r="E166" s="42">
        <v>29171</v>
      </c>
      <c r="F166" s="42">
        <v>5834</v>
      </c>
      <c r="G166" s="42">
        <v>4820</v>
      </c>
      <c r="H166" s="42">
        <v>3500</v>
      </c>
      <c r="I166" s="42">
        <v>1454</v>
      </c>
      <c r="J166" s="42">
        <v>34871</v>
      </c>
    </row>
    <row r="167" spans="1:10">
      <c r="A167" s="42" t="s">
        <v>264</v>
      </c>
      <c r="B167" s="42" t="s">
        <v>149</v>
      </c>
      <c r="C167" s="42" t="s">
        <v>15</v>
      </c>
      <c r="D167" s="42" t="s">
        <v>12</v>
      </c>
      <c r="E167" s="42">
        <v>43125</v>
      </c>
      <c r="F167" s="42">
        <v>8625</v>
      </c>
      <c r="G167" s="42">
        <v>4910</v>
      </c>
      <c r="H167" s="42">
        <v>5175</v>
      </c>
      <c r="I167" s="42">
        <v>2123</v>
      </c>
      <c r="J167" s="42">
        <v>49362</v>
      </c>
    </row>
    <row r="168" spans="1:10">
      <c r="A168" s="42" t="s">
        <v>265</v>
      </c>
      <c r="B168" s="42" t="s">
        <v>27</v>
      </c>
      <c r="C168" s="42" t="s">
        <v>25</v>
      </c>
      <c r="D168" s="42" t="s">
        <v>22</v>
      </c>
      <c r="E168" s="42">
        <v>48944</v>
      </c>
      <c r="F168" s="42">
        <v>9788</v>
      </c>
      <c r="G168" s="42">
        <v>1720</v>
      </c>
      <c r="H168" s="42">
        <v>5873</v>
      </c>
      <c r="I168" s="42">
        <v>622</v>
      </c>
      <c r="J168" s="42">
        <v>53957</v>
      </c>
    </row>
    <row r="169" spans="1:10">
      <c r="A169" s="42" t="s">
        <v>266</v>
      </c>
      <c r="B169" s="42" t="s">
        <v>160</v>
      </c>
      <c r="C169" s="42" t="s">
        <v>21</v>
      </c>
      <c r="D169" s="42" t="s">
        <v>22</v>
      </c>
      <c r="E169" s="42">
        <v>37527</v>
      </c>
      <c r="F169" s="42">
        <v>7505</v>
      </c>
      <c r="G169" s="42">
        <v>4615</v>
      </c>
      <c r="H169" s="42">
        <v>4503</v>
      </c>
      <c r="I169" s="42">
        <v>2787</v>
      </c>
      <c r="J169" s="42">
        <v>42357</v>
      </c>
    </row>
    <row r="170" spans="1:10">
      <c r="A170" s="42" t="s">
        <v>267</v>
      </c>
      <c r="B170" s="42" t="s">
        <v>18</v>
      </c>
      <c r="C170" s="42" t="s">
        <v>33</v>
      </c>
      <c r="D170" s="42" t="s">
        <v>16</v>
      </c>
      <c r="E170" s="42">
        <v>16600</v>
      </c>
      <c r="F170" s="42">
        <v>3320</v>
      </c>
      <c r="G170" s="42">
        <v>2622</v>
      </c>
      <c r="H170" s="42">
        <v>1992</v>
      </c>
      <c r="I170" s="42">
        <v>991</v>
      </c>
      <c r="J170" s="42">
        <v>19559</v>
      </c>
    </row>
    <row r="171" spans="1:10">
      <c r="A171" s="42" t="s">
        <v>268</v>
      </c>
      <c r="B171" s="42" t="s">
        <v>123</v>
      </c>
      <c r="C171" s="42" t="s">
        <v>25</v>
      </c>
      <c r="D171" s="42" t="s">
        <v>28</v>
      </c>
      <c r="E171" s="42">
        <v>54688</v>
      </c>
      <c r="F171" s="42">
        <v>10937</v>
      </c>
      <c r="G171" s="42">
        <v>2258</v>
      </c>
      <c r="H171" s="42">
        <v>6562</v>
      </c>
      <c r="I171" s="42">
        <v>1148</v>
      </c>
      <c r="J171" s="42">
        <v>60173</v>
      </c>
    </row>
    <row r="172" spans="1:10">
      <c r="A172" s="42" t="s">
        <v>269</v>
      </c>
      <c r="B172" s="42" t="s">
        <v>270</v>
      </c>
      <c r="C172" s="42" t="s">
        <v>11</v>
      </c>
      <c r="D172" s="42" t="s">
        <v>36</v>
      </c>
      <c r="E172" s="42">
        <v>25603</v>
      </c>
      <c r="F172" s="42">
        <v>5120</v>
      </c>
      <c r="G172" s="42">
        <v>4625</v>
      </c>
      <c r="H172" s="42">
        <v>3072</v>
      </c>
      <c r="I172" s="42">
        <v>963</v>
      </c>
      <c r="J172" s="42">
        <v>31313</v>
      </c>
    </row>
    <row r="173" spans="1:10">
      <c r="A173" s="42" t="s">
        <v>271</v>
      </c>
      <c r="B173" s="42" t="s">
        <v>71</v>
      </c>
      <c r="C173" s="42" t="s">
        <v>21</v>
      </c>
      <c r="D173" s="42" t="s">
        <v>16</v>
      </c>
      <c r="E173" s="42">
        <v>45728</v>
      </c>
      <c r="F173" s="42">
        <v>9145</v>
      </c>
      <c r="G173" s="42">
        <v>3213</v>
      </c>
      <c r="H173" s="42">
        <v>5487</v>
      </c>
      <c r="I173" s="42">
        <v>1760</v>
      </c>
      <c r="J173" s="42">
        <v>50839</v>
      </c>
    </row>
    <row r="174" spans="1:10">
      <c r="A174" s="42" t="s">
        <v>272</v>
      </c>
      <c r="B174" s="42" t="s">
        <v>273</v>
      </c>
      <c r="C174" s="42" t="s">
        <v>11</v>
      </c>
      <c r="D174" s="42" t="s">
        <v>22</v>
      </c>
      <c r="E174" s="42">
        <v>31114</v>
      </c>
      <c r="F174" s="42">
        <v>6222</v>
      </c>
      <c r="G174" s="42">
        <v>4572</v>
      </c>
      <c r="H174" s="42">
        <v>3733</v>
      </c>
      <c r="I174" s="42">
        <v>899</v>
      </c>
      <c r="J174" s="42">
        <v>37276</v>
      </c>
    </row>
    <row r="175" spans="1:10">
      <c r="A175" s="42" t="s">
        <v>274</v>
      </c>
      <c r="B175" s="42" t="s">
        <v>35</v>
      </c>
      <c r="C175" s="42" t="s">
        <v>49</v>
      </c>
      <c r="D175" s="42" t="s">
        <v>28</v>
      </c>
      <c r="E175" s="42">
        <v>18268</v>
      </c>
      <c r="F175" s="42">
        <v>3653</v>
      </c>
      <c r="G175" s="42">
        <v>3386</v>
      </c>
      <c r="H175" s="42">
        <v>2192</v>
      </c>
      <c r="I175" s="42">
        <v>607</v>
      </c>
      <c r="J175" s="42">
        <v>22508</v>
      </c>
    </row>
    <row r="176" spans="1:10">
      <c r="A176" s="42" t="s">
        <v>275</v>
      </c>
      <c r="B176" s="42" t="s">
        <v>276</v>
      </c>
      <c r="C176" s="42" t="s">
        <v>15</v>
      </c>
      <c r="D176" s="42" t="s">
        <v>36</v>
      </c>
      <c r="E176" s="42">
        <v>18578</v>
      </c>
      <c r="F176" s="42">
        <v>3715</v>
      </c>
      <c r="G176" s="42">
        <v>2392</v>
      </c>
      <c r="H176" s="42">
        <v>2229</v>
      </c>
      <c r="I176" s="42">
        <v>2251</v>
      </c>
      <c r="J176" s="42">
        <v>20205</v>
      </c>
    </row>
    <row r="177" spans="1:10">
      <c r="A177" s="42" t="s">
        <v>277</v>
      </c>
      <c r="B177" s="42" t="s">
        <v>213</v>
      </c>
      <c r="C177" s="42" t="s">
        <v>21</v>
      </c>
      <c r="D177" s="42" t="s">
        <v>36</v>
      </c>
      <c r="E177" s="42">
        <v>28036</v>
      </c>
      <c r="F177" s="42">
        <v>5607</v>
      </c>
      <c r="G177" s="42">
        <v>4056</v>
      </c>
      <c r="H177" s="42">
        <v>3364</v>
      </c>
      <c r="I177" s="42">
        <v>2529</v>
      </c>
      <c r="J177" s="42">
        <v>31806</v>
      </c>
    </row>
    <row r="178" spans="1:10">
      <c r="A178" s="42" t="s">
        <v>278</v>
      </c>
      <c r="B178" s="42" t="s">
        <v>213</v>
      </c>
      <c r="C178" s="42" t="s">
        <v>49</v>
      </c>
      <c r="D178" s="42" t="s">
        <v>16</v>
      </c>
      <c r="E178" s="42">
        <v>34761</v>
      </c>
      <c r="F178" s="42">
        <v>6952</v>
      </c>
      <c r="G178" s="42">
        <v>4444</v>
      </c>
      <c r="H178" s="42">
        <v>4171</v>
      </c>
      <c r="I178" s="42">
        <v>2662</v>
      </c>
      <c r="J178" s="42">
        <v>39324</v>
      </c>
    </row>
    <row r="179" spans="1:10">
      <c r="A179" s="42" t="s">
        <v>279</v>
      </c>
      <c r="B179" s="42" t="s">
        <v>95</v>
      </c>
      <c r="C179" s="42" t="s">
        <v>11</v>
      </c>
      <c r="D179" s="42" t="s">
        <v>16</v>
      </c>
      <c r="E179" s="42">
        <v>30390</v>
      </c>
      <c r="F179" s="42">
        <v>6078</v>
      </c>
      <c r="G179" s="42">
        <v>2198</v>
      </c>
      <c r="H179" s="42">
        <v>3646</v>
      </c>
      <c r="I179" s="42">
        <v>1258</v>
      </c>
      <c r="J179" s="42">
        <v>33762</v>
      </c>
    </row>
    <row r="180" spans="1:10">
      <c r="A180" s="42" t="s">
        <v>280</v>
      </c>
      <c r="B180" s="42" t="s">
        <v>30</v>
      </c>
      <c r="C180" s="42" t="s">
        <v>15</v>
      </c>
      <c r="D180" s="42" t="s">
        <v>36</v>
      </c>
      <c r="E180" s="42">
        <v>29394</v>
      </c>
      <c r="F180" s="42">
        <v>5878</v>
      </c>
      <c r="G180" s="42">
        <v>4837</v>
      </c>
      <c r="H180" s="42">
        <v>3527</v>
      </c>
      <c r="I180" s="42">
        <v>857</v>
      </c>
      <c r="J180" s="42">
        <v>35725</v>
      </c>
    </row>
    <row r="181" spans="1:10">
      <c r="A181" s="42" t="s">
        <v>281</v>
      </c>
      <c r="B181" s="42" t="s">
        <v>38</v>
      </c>
      <c r="C181" s="42" t="s">
        <v>21</v>
      </c>
      <c r="D181" s="42" t="s">
        <v>28</v>
      </c>
      <c r="E181" s="42">
        <v>56830</v>
      </c>
      <c r="F181" s="42">
        <v>11366</v>
      </c>
      <c r="G181" s="42">
        <v>1787</v>
      </c>
      <c r="H181" s="42">
        <v>6819</v>
      </c>
      <c r="I181" s="42">
        <v>1231</v>
      </c>
      <c r="J181" s="42">
        <v>61933</v>
      </c>
    </row>
    <row r="182" spans="1:10">
      <c r="A182" s="42" t="s">
        <v>282</v>
      </c>
      <c r="B182" s="42" t="s">
        <v>283</v>
      </c>
      <c r="C182" s="42" t="s">
        <v>33</v>
      </c>
      <c r="D182" s="42" t="s">
        <v>36</v>
      </c>
      <c r="E182" s="42">
        <v>57412</v>
      </c>
      <c r="F182" s="42">
        <v>11482</v>
      </c>
      <c r="G182" s="42">
        <v>3348</v>
      </c>
      <c r="H182" s="42">
        <v>6889</v>
      </c>
      <c r="I182" s="42">
        <v>696</v>
      </c>
      <c r="J182" s="42">
        <v>64657</v>
      </c>
    </row>
    <row r="183" spans="1:10">
      <c r="A183" s="42" t="s">
        <v>284</v>
      </c>
      <c r="B183" s="42" t="s">
        <v>149</v>
      </c>
      <c r="C183" s="42" t="s">
        <v>15</v>
      </c>
      <c r="D183" s="42" t="s">
        <v>28</v>
      </c>
      <c r="E183" s="42">
        <v>20587</v>
      </c>
      <c r="F183" s="42">
        <v>4117</v>
      </c>
      <c r="G183" s="42">
        <v>1219</v>
      </c>
      <c r="H183" s="42">
        <v>2470</v>
      </c>
      <c r="I183" s="42">
        <v>962</v>
      </c>
      <c r="J183" s="42">
        <v>22491</v>
      </c>
    </row>
    <row r="184" spans="1:10">
      <c r="A184" s="42" t="s">
        <v>285</v>
      </c>
      <c r="B184" s="42" t="s">
        <v>140</v>
      </c>
      <c r="C184" s="42" t="s">
        <v>49</v>
      </c>
      <c r="D184" s="42" t="s">
        <v>28</v>
      </c>
      <c r="E184" s="42">
        <v>53794</v>
      </c>
      <c r="F184" s="42">
        <v>10758</v>
      </c>
      <c r="G184" s="42">
        <v>2336</v>
      </c>
      <c r="H184" s="42">
        <v>6455</v>
      </c>
      <c r="I184" s="42">
        <v>2024</v>
      </c>
      <c r="J184" s="42">
        <v>58409</v>
      </c>
    </row>
    <row r="185" spans="1:10">
      <c r="A185" s="42" t="s">
        <v>286</v>
      </c>
      <c r="B185" s="42" t="s">
        <v>287</v>
      </c>
      <c r="C185" s="42" t="s">
        <v>11</v>
      </c>
      <c r="D185" s="42" t="s">
        <v>22</v>
      </c>
      <c r="E185" s="42">
        <v>43612</v>
      </c>
      <c r="F185" s="42">
        <v>8722</v>
      </c>
      <c r="G185" s="42">
        <v>3045</v>
      </c>
      <c r="H185" s="42">
        <v>5233</v>
      </c>
      <c r="I185" s="42">
        <v>1628</v>
      </c>
      <c r="J185" s="42">
        <v>48518</v>
      </c>
    </row>
    <row r="186" spans="1:10">
      <c r="A186" s="42" t="s">
        <v>288</v>
      </c>
      <c r="B186" s="42" t="s">
        <v>200</v>
      </c>
      <c r="C186" s="42" t="s">
        <v>11</v>
      </c>
      <c r="D186" s="42" t="s">
        <v>36</v>
      </c>
      <c r="E186" s="42">
        <v>44383</v>
      </c>
      <c r="F186" s="42">
        <v>8876</v>
      </c>
      <c r="G186" s="42">
        <v>3761</v>
      </c>
      <c r="H186" s="42">
        <v>5325</v>
      </c>
      <c r="I186" s="42">
        <v>2192</v>
      </c>
      <c r="J186" s="42">
        <v>49503</v>
      </c>
    </row>
    <row r="187" spans="1:10">
      <c r="A187" s="42" t="s">
        <v>289</v>
      </c>
      <c r="B187" s="42" t="s">
        <v>290</v>
      </c>
      <c r="C187" s="42" t="s">
        <v>21</v>
      </c>
      <c r="D187" s="42" t="s">
        <v>36</v>
      </c>
      <c r="E187" s="42">
        <v>51276</v>
      </c>
      <c r="F187" s="42">
        <v>10255</v>
      </c>
      <c r="G187" s="42">
        <v>1963</v>
      </c>
      <c r="H187" s="42">
        <v>6153</v>
      </c>
      <c r="I187" s="42">
        <v>581</v>
      </c>
      <c r="J187" s="42">
        <v>56760</v>
      </c>
    </row>
    <row r="188" spans="1:10">
      <c r="A188" s="42" t="s">
        <v>291</v>
      </c>
      <c r="B188" s="42" t="s">
        <v>60</v>
      </c>
      <c r="C188" s="42" t="s">
        <v>15</v>
      </c>
      <c r="D188" s="42" t="s">
        <v>12</v>
      </c>
      <c r="E188" s="42">
        <v>54652</v>
      </c>
      <c r="F188" s="42">
        <v>10930</v>
      </c>
      <c r="G188" s="42">
        <v>1502</v>
      </c>
      <c r="H188" s="42">
        <v>6558</v>
      </c>
      <c r="I188" s="42">
        <v>904</v>
      </c>
      <c r="J188" s="42">
        <v>59622</v>
      </c>
    </row>
    <row r="189" spans="1:10">
      <c r="A189" s="42" t="s">
        <v>292</v>
      </c>
      <c r="B189" s="42" t="s">
        <v>133</v>
      </c>
      <c r="C189" s="42" t="s">
        <v>25</v>
      </c>
      <c r="D189" s="42" t="s">
        <v>36</v>
      </c>
      <c r="E189" s="42">
        <v>58644</v>
      </c>
      <c r="F189" s="42">
        <v>11728</v>
      </c>
      <c r="G189" s="42">
        <v>1460</v>
      </c>
      <c r="H189" s="42">
        <v>7037</v>
      </c>
      <c r="I189" s="42">
        <v>2651</v>
      </c>
      <c r="J189" s="42">
        <v>62144</v>
      </c>
    </row>
    <row r="190" spans="1:10">
      <c r="A190" s="42" t="s">
        <v>293</v>
      </c>
      <c r="B190" s="42" t="s">
        <v>213</v>
      </c>
      <c r="C190" s="42" t="s">
        <v>15</v>
      </c>
      <c r="D190" s="42" t="s">
        <v>12</v>
      </c>
      <c r="E190" s="42">
        <v>44932</v>
      </c>
      <c r="F190" s="42">
        <v>8986</v>
      </c>
      <c r="G190" s="42">
        <v>3564</v>
      </c>
      <c r="H190" s="42">
        <v>5391</v>
      </c>
      <c r="I190" s="42">
        <v>1665</v>
      </c>
      <c r="J190" s="42">
        <v>50426</v>
      </c>
    </row>
    <row r="191" spans="1:10">
      <c r="A191" s="42" t="s">
        <v>294</v>
      </c>
      <c r="B191" s="42" t="s">
        <v>133</v>
      </c>
      <c r="C191" s="42" t="s">
        <v>21</v>
      </c>
      <c r="D191" s="42" t="s">
        <v>36</v>
      </c>
      <c r="E191" s="42">
        <v>48094</v>
      </c>
      <c r="F191" s="42">
        <v>9618</v>
      </c>
      <c r="G191" s="42">
        <v>4609</v>
      </c>
      <c r="H191" s="42">
        <v>5771</v>
      </c>
      <c r="I191" s="42">
        <v>890</v>
      </c>
      <c r="J191" s="42">
        <v>55660</v>
      </c>
    </row>
    <row r="192" spans="1:10">
      <c r="A192" s="42" t="s">
        <v>295</v>
      </c>
      <c r="B192" s="42" t="s">
        <v>174</v>
      </c>
      <c r="C192" s="42" t="s">
        <v>25</v>
      </c>
      <c r="D192" s="42" t="s">
        <v>22</v>
      </c>
      <c r="E192" s="42">
        <v>55690</v>
      </c>
      <c r="F192" s="42">
        <v>11138</v>
      </c>
      <c r="G192" s="42">
        <v>2908</v>
      </c>
      <c r="H192" s="42">
        <v>6682</v>
      </c>
      <c r="I192" s="42">
        <v>1016</v>
      </c>
      <c r="J192" s="42">
        <v>62038</v>
      </c>
    </row>
    <row r="193" spans="1:10">
      <c r="A193" s="42" t="s">
        <v>296</v>
      </c>
      <c r="B193" s="42" t="s">
        <v>67</v>
      </c>
      <c r="C193" s="42" t="s">
        <v>33</v>
      </c>
      <c r="D193" s="42" t="s">
        <v>28</v>
      </c>
      <c r="E193" s="42">
        <v>43682</v>
      </c>
      <c r="F193" s="42">
        <v>8736</v>
      </c>
      <c r="G193" s="42">
        <v>1092</v>
      </c>
      <c r="H193" s="42">
        <v>5241</v>
      </c>
      <c r="I193" s="42">
        <v>671</v>
      </c>
      <c r="J193" s="42">
        <v>47598</v>
      </c>
    </row>
    <row r="194" spans="1:10">
      <c r="A194" s="42" t="s">
        <v>297</v>
      </c>
      <c r="B194" s="42" t="s">
        <v>298</v>
      </c>
      <c r="C194" s="42" t="s">
        <v>49</v>
      </c>
      <c r="D194" s="42" t="s">
        <v>22</v>
      </c>
      <c r="E194" s="42">
        <v>45722</v>
      </c>
      <c r="F194" s="42">
        <v>9144</v>
      </c>
      <c r="G194" s="42">
        <v>1385</v>
      </c>
      <c r="H194" s="42">
        <v>5486</v>
      </c>
      <c r="I194" s="42">
        <v>2505</v>
      </c>
      <c r="J194" s="42">
        <v>48260</v>
      </c>
    </row>
    <row r="195" spans="1:10">
      <c r="A195" s="42" t="s">
        <v>299</v>
      </c>
      <c r="B195" s="42" t="s">
        <v>135</v>
      </c>
      <c r="C195" s="42" t="s">
        <v>21</v>
      </c>
      <c r="D195" s="42" t="s">
        <v>28</v>
      </c>
      <c r="E195" s="42">
        <v>44736</v>
      </c>
      <c r="F195" s="42">
        <v>8947</v>
      </c>
      <c r="G195" s="42">
        <v>1993</v>
      </c>
      <c r="H195" s="42">
        <v>5368</v>
      </c>
      <c r="I195" s="42">
        <v>2662</v>
      </c>
      <c r="J195" s="42">
        <v>47646</v>
      </c>
    </row>
    <row r="196" spans="1:10">
      <c r="A196" s="42" t="s">
        <v>300</v>
      </c>
      <c r="B196" s="42" t="s">
        <v>273</v>
      </c>
      <c r="C196" s="42" t="s">
        <v>33</v>
      </c>
      <c r="D196" s="42" t="s">
        <v>16</v>
      </c>
      <c r="E196" s="42">
        <v>20374</v>
      </c>
      <c r="F196" s="42">
        <v>4074</v>
      </c>
      <c r="G196" s="42">
        <v>3925</v>
      </c>
      <c r="H196" s="42">
        <v>2444</v>
      </c>
      <c r="I196" s="42">
        <v>1548</v>
      </c>
      <c r="J196" s="42">
        <v>24381</v>
      </c>
    </row>
    <row r="197" spans="1:10">
      <c r="A197" s="42" t="s">
        <v>301</v>
      </c>
      <c r="B197" s="42" t="s">
        <v>302</v>
      </c>
      <c r="C197" s="42" t="s">
        <v>21</v>
      </c>
      <c r="D197" s="42" t="s">
        <v>12</v>
      </c>
      <c r="E197" s="42">
        <v>23039</v>
      </c>
      <c r="F197" s="42">
        <v>4607</v>
      </c>
      <c r="G197" s="42">
        <v>2081</v>
      </c>
      <c r="H197" s="42">
        <v>2764</v>
      </c>
      <c r="I197" s="42">
        <v>1755</v>
      </c>
      <c r="J197" s="42">
        <v>25208</v>
      </c>
    </row>
    <row r="198" spans="1:10">
      <c r="A198" s="42" t="s">
        <v>303</v>
      </c>
      <c r="B198" s="42" t="s">
        <v>160</v>
      </c>
      <c r="C198" s="42" t="s">
        <v>33</v>
      </c>
      <c r="D198" s="42" t="s">
        <v>16</v>
      </c>
      <c r="E198" s="42">
        <v>36314</v>
      </c>
      <c r="F198" s="42">
        <v>7262</v>
      </c>
      <c r="G198" s="42">
        <v>1597</v>
      </c>
      <c r="H198" s="42">
        <v>4357</v>
      </c>
      <c r="I198" s="42">
        <v>653</v>
      </c>
      <c r="J198" s="42">
        <v>40163</v>
      </c>
    </row>
    <row r="199" spans="1:10">
      <c r="A199" s="42" t="s">
        <v>304</v>
      </c>
      <c r="B199" s="42" t="s">
        <v>204</v>
      </c>
      <c r="C199" s="42" t="s">
        <v>15</v>
      </c>
      <c r="D199" s="42" t="s">
        <v>12</v>
      </c>
      <c r="E199" s="42">
        <v>29950</v>
      </c>
      <c r="F199" s="42">
        <v>5990</v>
      </c>
      <c r="G199" s="42">
        <v>4887</v>
      </c>
      <c r="H199" s="42">
        <v>3594</v>
      </c>
      <c r="I199" s="42">
        <v>808</v>
      </c>
      <c r="J199" s="42">
        <v>36425</v>
      </c>
    </row>
    <row r="200" spans="1:10">
      <c r="A200" s="42" t="s">
        <v>305</v>
      </c>
      <c r="B200" s="42" t="s">
        <v>97</v>
      </c>
      <c r="C200" s="42" t="s">
        <v>49</v>
      </c>
      <c r="D200" s="42" t="s">
        <v>28</v>
      </c>
      <c r="E200" s="42">
        <v>40190</v>
      </c>
      <c r="F200" s="42">
        <v>8038</v>
      </c>
      <c r="G200" s="42">
        <v>1945</v>
      </c>
      <c r="H200" s="42">
        <v>4822</v>
      </c>
      <c r="I200" s="42">
        <v>2466</v>
      </c>
      <c r="J200" s="42">
        <v>42885</v>
      </c>
    </row>
    <row r="201" spans="1:10">
      <c r="A201" s="42" t="s">
        <v>306</v>
      </c>
      <c r="B201" s="42" t="s">
        <v>104</v>
      </c>
      <c r="C201" s="42" t="s">
        <v>21</v>
      </c>
      <c r="D201" s="42" t="s">
        <v>22</v>
      </c>
      <c r="E201" s="42">
        <v>40021</v>
      </c>
      <c r="F201" s="42">
        <v>8004</v>
      </c>
      <c r="G201" s="42">
        <v>2799</v>
      </c>
      <c r="H201" s="42">
        <v>4802</v>
      </c>
      <c r="I201" s="42">
        <v>509</v>
      </c>
      <c r="J201" s="42">
        <v>45513</v>
      </c>
    </row>
  </sheetData>
  <mergeCells count="6">
    <mergeCell ref="M24:Q24"/>
    <mergeCell ref="N25:O25"/>
    <mergeCell ref="M5:Q5"/>
    <mergeCell ref="M11:Q11"/>
    <mergeCell ref="M16:Q16"/>
    <mergeCell ref="M20:Q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01"/>
  <sheetViews>
    <sheetView workbookViewId="0">
      <selection activeCell="G11" sqref="G11"/>
    </sheetView>
  </sheetViews>
  <sheetFormatPr defaultRowHeight="14.4"/>
  <sheetData>
    <row r="1" spans="1:20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307</v>
      </c>
    </row>
    <row r="2" spans="1:20">
      <c r="A2" s="50" t="s">
        <v>280</v>
      </c>
      <c r="B2" s="50" t="s">
        <v>30</v>
      </c>
      <c r="C2" s="50" t="s">
        <v>15</v>
      </c>
      <c r="D2" s="50" t="s">
        <v>36</v>
      </c>
      <c r="E2" s="50">
        <v>29394</v>
      </c>
      <c r="F2" s="50">
        <v>5878</v>
      </c>
      <c r="G2" s="50">
        <v>4837</v>
      </c>
      <c r="H2" s="50">
        <v>3527</v>
      </c>
      <c r="I2" s="50">
        <v>857</v>
      </c>
      <c r="J2" s="50">
        <v>35725</v>
      </c>
    </row>
    <row r="3" spans="1:20">
      <c r="A3" s="50" t="s">
        <v>29</v>
      </c>
      <c r="B3" s="50" t="s">
        <v>30</v>
      </c>
      <c r="C3" s="50" t="s">
        <v>15</v>
      </c>
      <c r="D3" s="50" t="s">
        <v>28</v>
      </c>
      <c r="E3" s="50">
        <v>24044</v>
      </c>
      <c r="F3" s="50">
        <v>4808</v>
      </c>
      <c r="G3" s="50">
        <v>2353</v>
      </c>
      <c r="H3" s="50">
        <v>2885</v>
      </c>
      <c r="I3" s="50">
        <v>1826</v>
      </c>
      <c r="J3" s="50">
        <v>26494</v>
      </c>
    </row>
    <row r="4" spans="1:20">
      <c r="A4" s="50" t="s">
        <v>88</v>
      </c>
      <c r="B4" s="50" t="s">
        <v>30</v>
      </c>
      <c r="C4" s="50" t="s">
        <v>21</v>
      </c>
      <c r="D4" s="50" t="s">
        <v>28</v>
      </c>
      <c r="E4" s="50">
        <v>48630</v>
      </c>
      <c r="F4" s="50">
        <v>9726</v>
      </c>
      <c r="G4" s="50">
        <v>1584</v>
      </c>
      <c r="H4" s="50">
        <v>5835</v>
      </c>
      <c r="I4" s="50">
        <v>2042</v>
      </c>
      <c r="J4" s="50">
        <v>52063</v>
      </c>
    </row>
    <row r="5" spans="1:20">
      <c r="A5" s="50" t="s">
        <v>47</v>
      </c>
      <c r="B5" s="50" t="s">
        <v>48</v>
      </c>
      <c r="C5" s="50" t="s">
        <v>49</v>
      </c>
      <c r="D5" s="50" t="s">
        <v>28</v>
      </c>
      <c r="E5" s="50">
        <v>44944</v>
      </c>
      <c r="F5" s="50">
        <v>8988</v>
      </c>
      <c r="G5" s="50">
        <v>4629</v>
      </c>
      <c r="H5" s="50">
        <v>5393</v>
      </c>
      <c r="I5" s="50">
        <v>2498</v>
      </c>
      <c r="J5" s="50">
        <v>50670</v>
      </c>
      <c r="L5" s="73" t="s">
        <v>337</v>
      </c>
      <c r="M5" s="73"/>
      <c r="N5" s="73"/>
      <c r="O5" s="73"/>
      <c r="P5" s="73"/>
      <c r="Q5" s="73"/>
      <c r="R5" s="73"/>
      <c r="S5" s="73"/>
      <c r="T5" s="73"/>
    </row>
    <row r="6" spans="1:20">
      <c r="A6" s="50" t="s">
        <v>202</v>
      </c>
      <c r="B6" s="50" t="s">
        <v>48</v>
      </c>
      <c r="C6" s="50" t="s">
        <v>49</v>
      </c>
      <c r="D6" s="50" t="s">
        <v>16</v>
      </c>
      <c r="E6" s="50">
        <v>58145</v>
      </c>
      <c r="F6" s="50">
        <v>11629</v>
      </c>
      <c r="G6" s="50">
        <v>4369</v>
      </c>
      <c r="H6" s="50">
        <v>6977</v>
      </c>
      <c r="I6" s="50">
        <v>2332</v>
      </c>
      <c r="J6" s="50">
        <v>64834</v>
      </c>
    </row>
    <row r="7" spans="1:20">
      <c r="A7" s="50" t="s">
        <v>191</v>
      </c>
      <c r="B7" s="50" t="s">
        <v>48</v>
      </c>
      <c r="C7" s="50" t="s">
        <v>33</v>
      </c>
      <c r="D7" s="50" t="s">
        <v>36</v>
      </c>
      <c r="E7" s="50">
        <v>43259</v>
      </c>
      <c r="F7" s="50">
        <v>8651</v>
      </c>
      <c r="G7" s="50">
        <v>3764</v>
      </c>
      <c r="H7" s="50">
        <v>5191</v>
      </c>
      <c r="I7" s="50">
        <v>1145</v>
      </c>
      <c r="J7" s="50">
        <v>49338</v>
      </c>
    </row>
    <row r="8" spans="1:20">
      <c r="A8" s="50" t="s">
        <v>53</v>
      </c>
      <c r="B8" s="50" t="s">
        <v>54</v>
      </c>
      <c r="C8" s="50" t="s">
        <v>33</v>
      </c>
      <c r="D8" s="50" t="s">
        <v>36</v>
      </c>
      <c r="E8" s="50">
        <v>59466</v>
      </c>
      <c r="F8" s="50">
        <v>11893</v>
      </c>
      <c r="G8" s="50">
        <v>2332</v>
      </c>
      <c r="H8" s="50">
        <v>7135</v>
      </c>
      <c r="I8" s="50">
        <v>1604</v>
      </c>
      <c r="J8" s="50">
        <v>64952</v>
      </c>
    </row>
    <row r="9" spans="1:20">
      <c r="A9" s="50" t="s">
        <v>297</v>
      </c>
      <c r="B9" s="50" t="s">
        <v>298</v>
      </c>
      <c r="C9" s="50" t="s">
        <v>49</v>
      </c>
      <c r="D9" s="50" t="s">
        <v>22</v>
      </c>
      <c r="E9" s="50">
        <v>45722</v>
      </c>
      <c r="F9" s="50">
        <v>9144</v>
      </c>
      <c r="G9" s="50">
        <v>1385</v>
      </c>
      <c r="H9" s="50">
        <v>5486</v>
      </c>
      <c r="I9" s="50">
        <v>2505</v>
      </c>
      <c r="J9" s="50">
        <v>48260</v>
      </c>
    </row>
    <row r="10" spans="1:20">
      <c r="A10" s="50" t="s">
        <v>17</v>
      </c>
      <c r="B10" s="50" t="s">
        <v>18</v>
      </c>
      <c r="C10" s="50" t="s">
        <v>11</v>
      </c>
      <c r="D10" s="50" t="s">
        <v>16</v>
      </c>
      <c r="E10" s="50">
        <v>53938</v>
      </c>
      <c r="F10" s="50">
        <v>10787</v>
      </c>
      <c r="G10" s="50">
        <v>4851</v>
      </c>
      <c r="H10" s="50">
        <v>6472</v>
      </c>
      <c r="I10" s="50">
        <v>2058</v>
      </c>
      <c r="J10" s="50">
        <v>61046</v>
      </c>
    </row>
    <row r="11" spans="1:20">
      <c r="A11" s="50" t="s">
        <v>181</v>
      </c>
      <c r="B11" s="50" t="s">
        <v>18</v>
      </c>
      <c r="C11" s="50" t="s">
        <v>21</v>
      </c>
      <c r="D11" s="50" t="s">
        <v>22</v>
      </c>
      <c r="E11" s="50">
        <v>43936</v>
      </c>
      <c r="F11" s="50">
        <v>8787</v>
      </c>
      <c r="G11" s="50">
        <v>4077</v>
      </c>
      <c r="H11" s="50">
        <v>5272</v>
      </c>
      <c r="I11" s="50">
        <v>1354</v>
      </c>
      <c r="J11" s="50">
        <v>50174</v>
      </c>
    </row>
    <row r="12" spans="1:20">
      <c r="A12" s="50" t="s">
        <v>267</v>
      </c>
      <c r="B12" s="50" t="s">
        <v>18</v>
      </c>
      <c r="C12" s="50" t="s">
        <v>33</v>
      </c>
      <c r="D12" s="50" t="s">
        <v>16</v>
      </c>
      <c r="E12" s="50">
        <v>16600</v>
      </c>
      <c r="F12" s="50">
        <v>3320</v>
      </c>
      <c r="G12" s="50">
        <v>2622</v>
      </c>
      <c r="H12" s="50">
        <v>1992</v>
      </c>
      <c r="I12" s="50">
        <v>991</v>
      </c>
      <c r="J12" s="50">
        <v>19559</v>
      </c>
    </row>
    <row r="13" spans="1:20">
      <c r="A13" s="50" t="s">
        <v>188</v>
      </c>
      <c r="B13" s="50" t="s">
        <v>18</v>
      </c>
      <c r="C13" s="50" t="s">
        <v>15</v>
      </c>
      <c r="D13" s="50" t="s">
        <v>22</v>
      </c>
      <c r="E13" s="50">
        <v>16613</v>
      </c>
      <c r="F13" s="50">
        <v>3322</v>
      </c>
      <c r="G13" s="50">
        <v>2518</v>
      </c>
      <c r="H13" s="50">
        <v>1993</v>
      </c>
      <c r="I13" s="50">
        <v>1278</v>
      </c>
      <c r="J13" s="50">
        <v>19182</v>
      </c>
    </row>
    <row r="14" spans="1:20">
      <c r="A14" s="50" t="s">
        <v>251</v>
      </c>
      <c r="B14" s="50" t="s">
        <v>27</v>
      </c>
      <c r="C14" s="50" t="s">
        <v>33</v>
      </c>
      <c r="D14" s="50" t="s">
        <v>12</v>
      </c>
      <c r="E14" s="50">
        <v>29327</v>
      </c>
      <c r="F14" s="50">
        <v>5865</v>
      </c>
      <c r="G14" s="50">
        <v>4697</v>
      </c>
      <c r="H14" s="50">
        <v>3519</v>
      </c>
      <c r="I14" s="50">
        <v>2741</v>
      </c>
      <c r="J14" s="50">
        <v>33629</v>
      </c>
    </row>
    <row r="15" spans="1:20">
      <c r="A15" s="50" t="s">
        <v>26</v>
      </c>
      <c r="B15" s="50" t="s">
        <v>27</v>
      </c>
      <c r="C15" s="50" t="s">
        <v>21</v>
      </c>
      <c r="D15" s="50" t="s">
        <v>28</v>
      </c>
      <c r="E15" s="50">
        <v>15728</v>
      </c>
      <c r="F15" s="50">
        <v>3145</v>
      </c>
      <c r="G15" s="50">
        <v>2392</v>
      </c>
      <c r="H15" s="50">
        <v>1887</v>
      </c>
      <c r="I15" s="50">
        <v>1556</v>
      </c>
      <c r="J15" s="50">
        <v>17822</v>
      </c>
    </row>
    <row r="16" spans="1:20">
      <c r="A16" s="50" t="s">
        <v>98</v>
      </c>
      <c r="B16" s="50" t="s">
        <v>27</v>
      </c>
      <c r="C16" s="50" t="s">
        <v>21</v>
      </c>
      <c r="D16" s="50" t="s">
        <v>16</v>
      </c>
      <c r="E16" s="50">
        <v>21748</v>
      </c>
      <c r="F16" s="50">
        <v>4349</v>
      </c>
      <c r="G16" s="50">
        <v>2199</v>
      </c>
      <c r="H16" s="50">
        <v>2609</v>
      </c>
      <c r="I16" s="50">
        <v>2438</v>
      </c>
      <c r="J16" s="50">
        <v>23249</v>
      </c>
    </row>
    <row r="17" spans="1:10">
      <c r="A17" s="50" t="s">
        <v>265</v>
      </c>
      <c r="B17" s="50" t="s">
        <v>27</v>
      </c>
      <c r="C17" s="50" t="s">
        <v>25</v>
      </c>
      <c r="D17" s="50" t="s">
        <v>22</v>
      </c>
      <c r="E17" s="50">
        <v>48944</v>
      </c>
      <c r="F17" s="50">
        <v>9788</v>
      </c>
      <c r="G17" s="50">
        <v>1720</v>
      </c>
      <c r="H17" s="50">
        <v>5873</v>
      </c>
      <c r="I17" s="50">
        <v>622</v>
      </c>
      <c r="J17" s="50">
        <v>53957</v>
      </c>
    </row>
    <row r="18" spans="1:10">
      <c r="A18" s="50" t="s">
        <v>92</v>
      </c>
      <c r="B18" s="50" t="s">
        <v>93</v>
      </c>
      <c r="C18" s="50" t="s">
        <v>11</v>
      </c>
      <c r="D18" s="50" t="s">
        <v>16</v>
      </c>
      <c r="E18" s="50">
        <v>25645</v>
      </c>
      <c r="F18" s="50">
        <v>5129</v>
      </c>
      <c r="G18" s="50">
        <v>3679</v>
      </c>
      <c r="H18" s="50">
        <v>3077</v>
      </c>
      <c r="I18" s="50">
        <v>1318</v>
      </c>
      <c r="J18" s="50">
        <v>30058</v>
      </c>
    </row>
    <row r="19" spans="1:10">
      <c r="A19" s="50" t="s">
        <v>165</v>
      </c>
      <c r="B19" s="50" t="s">
        <v>93</v>
      </c>
      <c r="C19" s="50" t="s">
        <v>49</v>
      </c>
      <c r="D19" s="50" t="s">
        <v>16</v>
      </c>
      <c r="E19" s="50">
        <v>48995</v>
      </c>
      <c r="F19" s="50">
        <v>9799</v>
      </c>
      <c r="G19" s="50">
        <v>1268</v>
      </c>
      <c r="H19" s="50">
        <v>5879</v>
      </c>
      <c r="I19" s="50">
        <v>2577</v>
      </c>
      <c r="J19" s="50">
        <v>51606</v>
      </c>
    </row>
    <row r="20" spans="1:10">
      <c r="A20" s="50" t="s">
        <v>261</v>
      </c>
      <c r="B20" s="50" t="s">
        <v>262</v>
      </c>
      <c r="C20" s="50" t="s">
        <v>49</v>
      </c>
      <c r="D20" s="50" t="s">
        <v>36</v>
      </c>
      <c r="E20" s="50">
        <v>54842</v>
      </c>
      <c r="F20" s="50">
        <v>10968</v>
      </c>
      <c r="G20" s="50">
        <v>1151</v>
      </c>
      <c r="H20" s="50">
        <v>6581</v>
      </c>
      <c r="I20" s="50">
        <v>2318</v>
      </c>
      <c r="J20" s="50">
        <v>58062</v>
      </c>
    </row>
    <row r="21" spans="1:10">
      <c r="A21" s="50" t="s">
        <v>68</v>
      </c>
      <c r="B21" s="50" t="s">
        <v>69</v>
      </c>
      <c r="C21" s="50" t="s">
        <v>33</v>
      </c>
      <c r="D21" s="50" t="s">
        <v>36</v>
      </c>
      <c r="E21" s="50">
        <v>56883</v>
      </c>
      <c r="F21" s="50">
        <v>11376</v>
      </c>
      <c r="G21" s="50">
        <v>2773</v>
      </c>
      <c r="H21" s="50">
        <v>6825</v>
      </c>
      <c r="I21" s="50">
        <v>2679</v>
      </c>
      <c r="J21" s="50">
        <v>61528</v>
      </c>
    </row>
    <row r="22" spans="1:10">
      <c r="A22" s="50" t="s">
        <v>139</v>
      </c>
      <c r="B22" s="50" t="s">
        <v>140</v>
      </c>
      <c r="C22" s="50" t="s">
        <v>49</v>
      </c>
      <c r="D22" s="50" t="s">
        <v>12</v>
      </c>
      <c r="E22" s="50">
        <v>48349</v>
      </c>
      <c r="F22" s="50">
        <v>9669</v>
      </c>
      <c r="G22" s="50">
        <v>3919</v>
      </c>
      <c r="H22" s="50">
        <v>5801</v>
      </c>
      <c r="I22" s="50">
        <v>2752</v>
      </c>
      <c r="J22" s="50">
        <v>53384</v>
      </c>
    </row>
    <row r="23" spans="1:10">
      <c r="A23" s="50" t="s">
        <v>285</v>
      </c>
      <c r="B23" s="50" t="s">
        <v>140</v>
      </c>
      <c r="C23" s="50" t="s">
        <v>49</v>
      </c>
      <c r="D23" s="50" t="s">
        <v>28</v>
      </c>
      <c r="E23" s="50">
        <v>53794</v>
      </c>
      <c r="F23" s="50">
        <v>10758</v>
      </c>
      <c r="G23" s="50">
        <v>2336</v>
      </c>
      <c r="H23" s="50">
        <v>6455</v>
      </c>
      <c r="I23" s="50">
        <v>2024</v>
      </c>
      <c r="J23" s="50">
        <v>58409</v>
      </c>
    </row>
    <row r="24" spans="1:10">
      <c r="A24" s="50" t="s">
        <v>210</v>
      </c>
      <c r="B24" s="50" t="s">
        <v>336</v>
      </c>
      <c r="C24" s="50" t="s">
        <v>49</v>
      </c>
      <c r="D24" s="50" t="s">
        <v>22</v>
      </c>
      <c r="E24" s="50">
        <v>57694</v>
      </c>
      <c r="F24" s="50">
        <v>11538</v>
      </c>
      <c r="G24" s="50">
        <v>4034</v>
      </c>
      <c r="H24" s="50">
        <v>6923</v>
      </c>
      <c r="I24" s="50">
        <v>2056</v>
      </c>
      <c r="J24" s="50">
        <v>64287</v>
      </c>
    </row>
    <row r="25" spans="1:10">
      <c r="A25" s="50" t="s">
        <v>242</v>
      </c>
      <c r="B25" s="50" t="s">
        <v>177</v>
      </c>
      <c r="C25" s="50" t="s">
        <v>25</v>
      </c>
      <c r="D25" s="50" t="s">
        <v>28</v>
      </c>
      <c r="E25" s="50">
        <v>29971</v>
      </c>
      <c r="F25" s="50">
        <v>5994</v>
      </c>
      <c r="G25" s="50">
        <v>3256</v>
      </c>
      <c r="H25" s="50">
        <v>3596</v>
      </c>
      <c r="I25" s="50">
        <v>1257</v>
      </c>
      <c r="J25" s="50">
        <v>34368</v>
      </c>
    </row>
    <row r="26" spans="1:10">
      <c r="A26" s="50" t="s">
        <v>258</v>
      </c>
      <c r="B26" s="50" t="s">
        <v>177</v>
      </c>
      <c r="C26" s="50" t="s">
        <v>21</v>
      </c>
      <c r="D26" s="50" t="s">
        <v>22</v>
      </c>
      <c r="E26" s="50">
        <v>40593</v>
      </c>
      <c r="F26" s="50">
        <v>8118</v>
      </c>
      <c r="G26" s="50">
        <v>1480</v>
      </c>
      <c r="H26" s="50">
        <v>4871</v>
      </c>
      <c r="I26" s="50">
        <v>1002</v>
      </c>
      <c r="J26" s="50">
        <v>44318</v>
      </c>
    </row>
    <row r="27" spans="1:10">
      <c r="A27" s="50" t="s">
        <v>260</v>
      </c>
      <c r="B27" s="50" t="s">
        <v>42</v>
      </c>
      <c r="C27" s="50" t="s">
        <v>33</v>
      </c>
      <c r="D27" s="50" t="s">
        <v>12</v>
      </c>
      <c r="E27" s="50">
        <v>51774</v>
      </c>
      <c r="F27" s="50">
        <v>10354</v>
      </c>
      <c r="G27" s="50">
        <v>2932</v>
      </c>
      <c r="H27" s="50">
        <v>6212</v>
      </c>
      <c r="I27" s="50">
        <v>687</v>
      </c>
      <c r="J27" s="50">
        <v>58161</v>
      </c>
    </row>
    <row r="28" spans="1:10">
      <c r="A28" s="50" t="s">
        <v>41</v>
      </c>
      <c r="B28" s="50" t="s">
        <v>42</v>
      </c>
      <c r="C28" s="50" t="s">
        <v>21</v>
      </c>
      <c r="D28" s="50" t="s">
        <v>16</v>
      </c>
      <c r="E28" s="50">
        <v>44325</v>
      </c>
      <c r="F28" s="50">
        <v>8865</v>
      </c>
      <c r="G28" s="50">
        <v>1916</v>
      </c>
      <c r="H28" s="50">
        <v>5319</v>
      </c>
      <c r="I28" s="50">
        <v>886</v>
      </c>
      <c r="J28" s="50">
        <v>48901</v>
      </c>
    </row>
    <row r="29" spans="1:10">
      <c r="A29" s="50" t="s">
        <v>145</v>
      </c>
      <c r="B29" s="50" t="s">
        <v>73</v>
      </c>
      <c r="C29" s="50" t="s">
        <v>33</v>
      </c>
      <c r="D29" s="50" t="s">
        <v>16</v>
      </c>
      <c r="E29" s="50">
        <v>34501</v>
      </c>
      <c r="F29" s="50">
        <v>6900</v>
      </c>
      <c r="G29" s="50">
        <v>4965</v>
      </c>
      <c r="H29" s="50">
        <v>4140</v>
      </c>
      <c r="I29" s="50">
        <v>2673</v>
      </c>
      <c r="J29" s="50">
        <v>39553</v>
      </c>
    </row>
    <row r="30" spans="1:10">
      <c r="A30" s="50" t="s">
        <v>72</v>
      </c>
      <c r="B30" s="50" t="s">
        <v>73</v>
      </c>
      <c r="C30" s="50" t="s">
        <v>15</v>
      </c>
      <c r="D30" s="50" t="s">
        <v>28</v>
      </c>
      <c r="E30" s="50">
        <v>19071</v>
      </c>
      <c r="F30" s="50">
        <v>3814</v>
      </c>
      <c r="G30" s="50">
        <v>4441</v>
      </c>
      <c r="H30" s="50">
        <v>2288</v>
      </c>
      <c r="I30" s="50">
        <v>1464</v>
      </c>
      <c r="J30" s="50">
        <v>23574</v>
      </c>
    </row>
    <row r="31" spans="1:10">
      <c r="A31" s="50" t="s">
        <v>226</v>
      </c>
      <c r="B31" s="50" t="s">
        <v>73</v>
      </c>
      <c r="C31" s="50" t="s">
        <v>49</v>
      </c>
      <c r="D31" s="50" t="s">
        <v>22</v>
      </c>
      <c r="E31" s="50">
        <v>29985</v>
      </c>
      <c r="F31" s="50">
        <v>5997</v>
      </c>
      <c r="G31" s="50">
        <v>2891</v>
      </c>
      <c r="H31" s="50">
        <v>3598</v>
      </c>
      <c r="I31" s="50">
        <v>1084</v>
      </c>
      <c r="J31" s="50">
        <v>34191</v>
      </c>
    </row>
    <row r="32" spans="1:10">
      <c r="A32" s="50" t="s">
        <v>286</v>
      </c>
      <c r="B32" s="50" t="s">
        <v>287</v>
      </c>
      <c r="C32" s="50" t="s">
        <v>11</v>
      </c>
      <c r="D32" s="50" t="s">
        <v>22</v>
      </c>
      <c r="E32" s="50">
        <v>43612</v>
      </c>
      <c r="F32" s="50">
        <v>8722</v>
      </c>
      <c r="G32" s="50">
        <v>3045</v>
      </c>
      <c r="H32" s="50">
        <v>5233</v>
      </c>
      <c r="I32" s="50">
        <v>1628</v>
      </c>
      <c r="J32" s="50">
        <v>48518</v>
      </c>
    </row>
    <row r="33" spans="1:10">
      <c r="A33" s="50" t="s">
        <v>176</v>
      </c>
      <c r="B33" s="50" t="s">
        <v>335</v>
      </c>
      <c r="C33" s="50" t="s">
        <v>25</v>
      </c>
      <c r="D33" s="50" t="s">
        <v>22</v>
      </c>
      <c r="E33" s="50">
        <v>58043</v>
      </c>
      <c r="F33" s="50">
        <v>11608</v>
      </c>
      <c r="G33" s="50">
        <v>1712</v>
      </c>
      <c r="H33" s="50">
        <v>6965</v>
      </c>
      <c r="I33" s="50">
        <v>1681</v>
      </c>
      <c r="J33" s="50">
        <v>62717</v>
      </c>
    </row>
    <row r="34" spans="1:10">
      <c r="A34" s="50" t="s">
        <v>168</v>
      </c>
      <c r="B34" s="50" t="s">
        <v>169</v>
      </c>
      <c r="C34" s="50" t="s">
        <v>25</v>
      </c>
      <c r="D34" s="50" t="s">
        <v>28</v>
      </c>
      <c r="E34" s="50">
        <v>35729</v>
      </c>
      <c r="F34" s="50">
        <v>7145</v>
      </c>
      <c r="G34" s="50">
        <v>1426</v>
      </c>
      <c r="H34" s="50">
        <v>4287</v>
      </c>
      <c r="I34" s="50">
        <v>1016</v>
      </c>
      <c r="J34" s="50">
        <v>38997</v>
      </c>
    </row>
    <row r="35" spans="1:10">
      <c r="A35" s="50" t="s">
        <v>23</v>
      </c>
      <c r="B35" s="50" t="s">
        <v>24</v>
      </c>
      <c r="C35" s="50" t="s">
        <v>25</v>
      </c>
      <c r="D35" s="50" t="s">
        <v>12</v>
      </c>
      <c r="E35" s="50">
        <v>42292</v>
      </c>
      <c r="F35" s="50">
        <v>8458</v>
      </c>
      <c r="G35" s="50">
        <v>3707</v>
      </c>
      <c r="H35" s="50">
        <v>5075</v>
      </c>
      <c r="I35" s="50">
        <v>1107</v>
      </c>
      <c r="J35" s="50">
        <v>48275</v>
      </c>
    </row>
    <row r="36" spans="1:10">
      <c r="A36" s="50" t="s">
        <v>256</v>
      </c>
      <c r="B36" s="50" t="s">
        <v>24</v>
      </c>
      <c r="C36" s="50" t="s">
        <v>21</v>
      </c>
      <c r="D36" s="50" t="s">
        <v>12</v>
      </c>
      <c r="E36" s="50">
        <v>15611</v>
      </c>
      <c r="F36" s="50">
        <v>3122</v>
      </c>
      <c r="G36" s="50">
        <v>3014</v>
      </c>
      <c r="H36" s="50">
        <v>1873</v>
      </c>
      <c r="I36" s="50">
        <v>1904</v>
      </c>
      <c r="J36" s="50">
        <v>17970</v>
      </c>
    </row>
    <row r="37" spans="1:10">
      <c r="A37" s="50" t="s">
        <v>39</v>
      </c>
      <c r="B37" s="50" t="s">
        <v>40</v>
      </c>
      <c r="C37" s="50" t="s">
        <v>15</v>
      </c>
      <c r="D37" s="50" t="s">
        <v>12</v>
      </c>
      <c r="E37" s="50">
        <v>54259</v>
      </c>
      <c r="F37" s="50">
        <v>10851</v>
      </c>
      <c r="G37" s="50">
        <v>1009</v>
      </c>
      <c r="H37" s="50">
        <v>6511</v>
      </c>
      <c r="I37" s="50">
        <v>2363</v>
      </c>
      <c r="J37" s="50">
        <v>57245</v>
      </c>
    </row>
    <row r="38" spans="1:10">
      <c r="A38" s="50" t="s">
        <v>155</v>
      </c>
      <c r="B38" s="50" t="s">
        <v>156</v>
      </c>
      <c r="C38" s="50" t="s">
        <v>25</v>
      </c>
      <c r="D38" s="50" t="s">
        <v>28</v>
      </c>
      <c r="E38" s="50">
        <v>15286</v>
      </c>
      <c r="F38" s="50">
        <v>3057</v>
      </c>
      <c r="G38" s="50">
        <v>4506</v>
      </c>
      <c r="H38" s="50">
        <v>1834</v>
      </c>
      <c r="I38" s="50">
        <v>570</v>
      </c>
      <c r="J38" s="50">
        <v>20445</v>
      </c>
    </row>
    <row r="39" spans="1:10">
      <c r="A39" s="50" t="s">
        <v>228</v>
      </c>
      <c r="B39" s="50" t="s">
        <v>156</v>
      </c>
      <c r="C39" s="50" t="s">
        <v>21</v>
      </c>
      <c r="D39" s="50" t="s">
        <v>36</v>
      </c>
      <c r="E39" s="50">
        <v>49315</v>
      </c>
      <c r="F39" s="50">
        <v>9863</v>
      </c>
      <c r="G39" s="50">
        <v>4090</v>
      </c>
      <c r="H39" s="50">
        <v>5917</v>
      </c>
      <c r="I39" s="50">
        <v>1378</v>
      </c>
      <c r="J39" s="50">
        <v>55973</v>
      </c>
    </row>
    <row r="40" spans="1:10">
      <c r="A40" s="50" t="s">
        <v>218</v>
      </c>
      <c r="B40" s="50" t="s">
        <v>156</v>
      </c>
      <c r="C40" s="50" t="s">
        <v>11</v>
      </c>
      <c r="D40" s="50" t="s">
        <v>12</v>
      </c>
      <c r="E40" s="50">
        <v>18999</v>
      </c>
      <c r="F40" s="50">
        <v>3799</v>
      </c>
      <c r="G40" s="50">
        <v>3165</v>
      </c>
      <c r="H40" s="50">
        <v>2279</v>
      </c>
      <c r="I40" s="50">
        <v>1250</v>
      </c>
      <c r="J40" s="50">
        <v>22434</v>
      </c>
    </row>
    <row r="41" spans="1:10">
      <c r="A41" s="50" t="s">
        <v>197</v>
      </c>
      <c r="B41" s="50" t="s">
        <v>156</v>
      </c>
      <c r="C41" s="50" t="s">
        <v>21</v>
      </c>
      <c r="D41" s="50" t="s">
        <v>16</v>
      </c>
      <c r="E41" s="50">
        <v>20167</v>
      </c>
      <c r="F41" s="50">
        <v>4033</v>
      </c>
      <c r="G41" s="50">
        <v>3058</v>
      </c>
      <c r="H41" s="50">
        <v>2420</v>
      </c>
      <c r="I41" s="50">
        <v>2435</v>
      </c>
      <c r="J41" s="50">
        <v>22403</v>
      </c>
    </row>
    <row r="42" spans="1:10">
      <c r="A42" s="50" t="s">
        <v>106</v>
      </c>
      <c r="B42" s="50" t="s">
        <v>107</v>
      </c>
      <c r="C42" s="50" t="s">
        <v>11</v>
      </c>
      <c r="D42" s="50" t="s">
        <v>36</v>
      </c>
      <c r="E42" s="50">
        <v>30724</v>
      </c>
      <c r="F42" s="50">
        <v>6144</v>
      </c>
      <c r="G42" s="50">
        <v>4851</v>
      </c>
      <c r="H42" s="50">
        <v>3686</v>
      </c>
      <c r="I42" s="50">
        <v>2066</v>
      </c>
      <c r="J42" s="50">
        <v>35967</v>
      </c>
    </row>
    <row r="43" spans="1:10">
      <c r="A43" s="50" t="s">
        <v>238</v>
      </c>
      <c r="B43" s="50" t="s">
        <v>107</v>
      </c>
      <c r="C43" s="50" t="s">
        <v>49</v>
      </c>
      <c r="D43" s="50" t="s">
        <v>28</v>
      </c>
      <c r="E43" s="50">
        <v>51646</v>
      </c>
      <c r="F43" s="50">
        <v>10329</v>
      </c>
      <c r="G43" s="50">
        <v>1840</v>
      </c>
      <c r="H43" s="50">
        <v>6197</v>
      </c>
      <c r="I43" s="50">
        <v>579</v>
      </c>
      <c r="J43" s="50">
        <v>57039</v>
      </c>
    </row>
    <row r="44" spans="1:10">
      <c r="A44" s="50" t="s">
        <v>194</v>
      </c>
      <c r="B44" s="50" t="s">
        <v>174</v>
      </c>
      <c r="C44" s="50" t="s">
        <v>25</v>
      </c>
      <c r="D44" s="50" t="s">
        <v>22</v>
      </c>
      <c r="E44" s="50">
        <v>50491</v>
      </c>
      <c r="F44" s="50">
        <v>10098</v>
      </c>
      <c r="G44" s="50">
        <v>3852</v>
      </c>
      <c r="H44" s="50">
        <v>6058</v>
      </c>
      <c r="I44" s="50">
        <v>922</v>
      </c>
      <c r="J44" s="50">
        <v>57461</v>
      </c>
    </row>
    <row r="45" spans="1:10">
      <c r="A45" s="50" t="s">
        <v>244</v>
      </c>
      <c r="B45" s="50" t="s">
        <v>174</v>
      </c>
      <c r="C45" s="50" t="s">
        <v>11</v>
      </c>
      <c r="D45" s="50" t="s">
        <v>22</v>
      </c>
      <c r="E45" s="50">
        <v>19806</v>
      </c>
      <c r="F45" s="50">
        <v>3961</v>
      </c>
      <c r="G45" s="50">
        <v>3601</v>
      </c>
      <c r="H45" s="50">
        <v>2376</v>
      </c>
      <c r="I45" s="50">
        <v>2818</v>
      </c>
      <c r="J45" s="50">
        <v>22174</v>
      </c>
    </row>
    <row r="46" spans="1:10">
      <c r="A46" s="50" t="s">
        <v>173</v>
      </c>
      <c r="B46" s="50" t="s">
        <v>174</v>
      </c>
      <c r="C46" s="50" t="s">
        <v>11</v>
      </c>
      <c r="D46" s="50" t="s">
        <v>22</v>
      </c>
      <c r="E46" s="50">
        <v>30885</v>
      </c>
      <c r="F46" s="50">
        <v>6177</v>
      </c>
      <c r="G46" s="50">
        <v>3569</v>
      </c>
      <c r="H46" s="50">
        <v>3706</v>
      </c>
      <c r="I46" s="50">
        <v>1282</v>
      </c>
      <c r="J46" s="50">
        <v>35643</v>
      </c>
    </row>
    <row r="47" spans="1:10">
      <c r="A47" s="50" t="s">
        <v>295</v>
      </c>
      <c r="B47" s="50" t="s">
        <v>174</v>
      </c>
      <c r="C47" s="50" t="s">
        <v>25</v>
      </c>
      <c r="D47" s="50" t="s">
        <v>22</v>
      </c>
      <c r="E47" s="50">
        <v>55690</v>
      </c>
      <c r="F47" s="50">
        <v>11138</v>
      </c>
      <c r="G47" s="50">
        <v>2908</v>
      </c>
      <c r="H47" s="50">
        <v>6682</v>
      </c>
      <c r="I47" s="50">
        <v>1016</v>
      </c>
      <c r="J47" s="50">
        <v>62038</v>
      </c>
    </row>
    <row r="48" spans="1:10">
      <c r="A48" s="50" t="s">
        <v>208</v>
      </c>
      <c r="B48" s="50" t="s">
        <v>209</v>
      </c>
      <c r="C48" s="50" t="s">
        <v>21</v>
      </c>
      <c r="D48" s="50" t="s">
        <v>22</v>
      </c>
      <c r="E48" s="50">
        <v>33144</v>
      </c>
      <c r="F48" s="50">
        <v>6628</v>
      </c>
      <c r="G48" s="50">
        <v>4997</v>
      </c>
      <c r="H48" s="50">
        <v>3977</v>
      </c>
      <c r="I48" s="50">
        <v>1438</v>
      </c>
      <c r="J48" s="50">
        <v>39354</v>
      </c>
    </row>
    <row r="49" spans="1:10">
      <c r="A49" s="50" t="s">
        <v>196</v>
      </c>
      <c r="B49" s="50" t="s">
        <v>67</v>
      </c>
      <c r="C49" s="50" t="s">
        <v>25</v>
      </c>
      <c r="D49" s="50" t="s">
        <v>28</v>
      </c>
      <c r="E49" s="50">
        <v>16230</v>
      </c>
      <c r="F49" s="50">
        <v>3246</v>
      </c>
      <c r="G49" s="50">
        <v>4737</v>
      </c>
      <c r="H49" s="50">
        <v>1947</v>
      </c>
      <c r="I49" s="50">
        <v>1364</v>
      </c>
      <c r="J49" s="50">
        <v>20902</v>
      </c>
    </row>
    <row r="50" spans="1:10">
      <c r="A50" s="50" t="s">
        <v>240</v>
      </c>
      <c r="B50" s="50" t="s">
        <v>67</v>
      </c>
      <c r="C50" s="50" t="s">
        <v>33</v>
      </c>
      <c r="D50" s="50" t="s">
        <v>12</v>
      </c>
      <c r="E50" s="50">
        <v>26351</v>
      </c>
      <c r="F50" s="50">
        <v>5270</v>
      </c>
      <c r="G50" s="50">
        <v>3438</v>
      </c>
      <c r="H50" s="50">
        <v>3162</v>
      </c>
      <c r="I50" s="50">
        <v>1878</v>
      </c>
      <c r="J50" s="50">
        <v>30019</v>
      </c>
    </row>
    <row r="51" spans="1:10">
      <c r="A51" s="50" t="s">
        <v>66</v>
      </c>
      <c r="B51" s="50" t="s">
        <v>67</v>
      </c>
      <c r="C51" s="50" t="s">
        <v>15</v>
      </c>
      <c r="D51" s="50" t="s">
        <v>16</v>
      </c>
      <c r="E51" s="50">
        <v>42127</v>
      </c>
      <c r="F51" s="50">
        <v>8425</v>
      </c>
      <c r="G51" s="50">
        <v>2541</v>
      </c>
      <c r="H51" s="50">
        <v>5055</v>
      </c>
      <c r="I51" s="50">
        <v>2058</v>
      </c>
      <c r="J51" s="50">
        <v>45980</v>
      </c>
    </row>
    <row r="52" spans="1:10">
      <c r="A52" s="50" t="s">
        <v>296</v>
      </c>
      <c r="B52" s="50" t="s">
        <v>67</v>
      </c>
      <c r="C52" s="50" t="s">
        <v>33</v>
      </c>
      <c r="D52" s="50" t="s">
        <v>28</v>
      </c>
      <c r="E52" s="50">
        <v>43682</v>
      </c>
      <c r="F52" s="50">
        <v>8736</v>
      </c>
      <c r="G52" s="50">
        <v>1092</v>
      </c>
      <c r="H52" s="50">
        <v>5241</v>
      </c>
      <c r="I52" s="50">
        <v>671</v>
      </c>
      <c r="J52" s="50">
        <v>47598</v>
      </c>
    </row>
    <row r="53" spans="1:10">
      <c r="A53" s="50" t="s">
        <v>89</v>
      </c>
      <c r="B53" s="50" t="s">
        <v>77</v>
      </c>
      <c r="C53" s="50" t="s">
        <v>49</v>
      </c>
      <c r="D53" s="50" t="s">
        <v>36</v>
      </c>
      <c r="E53" s="50">
        <v>19887</v>
      </c>
      <c r="F53" s="50">
        <v>3977</v>
      </c>
      <c r="G53" s="50">
        <v>4132</v>
      </c>
      <c r="H53" s="50">
        <v>2386</v>
      </c>
      <c r="I53" s="50">
        <v>1698</v>
      </c>
      <c r="J53" s="50">
        <v>23912</v>
      </c>
    </row>
    <row r="54" spans="1:10">
      <c r="A54" s="50" t="s">
        <v>76</v>
      </c>
      <c r="B54" s="50" t="s">
        <v>77</v>
      </c>
      <c r="C54" s="50" t="s">
        <v>15</v>
      </c>
      <c r="D54" s="50" t="s">
        <v>12</v>
      </c>
      <c r="E54" s="50">
        <v>51234</v>
      </c>
      <c r="F54" s="50">
        <v>10246</v>
      </c>
      <c r="G54" s="50">
        <v>3535</v>
      </c>
      <c r="H54" s="50">
        <v>6148</v>
      </c>
      <c r="I54" s="50">
        <v>2453</v>
      </c>
      <c r="J54" s="50">
        <v>56414</v>
      </c>
    </row>
    <row r="55" spans="1:10">
      <c r="A55" s="50" t="s">
        <v>257</v>
      </c>
      <c r="B55" s="50" t="s">
        <v>77</v>
      </c>
      <c r="C55" s="50" t="s">
        <v>33</v>
      </c>
      <c r="D55" s="50" t="s">
        <v>12</v>
      </c>
      <c r="E55" s="50">
        <v>50006</v>
      </c>
      <c r="F55" s="50">
        <v>10001</v>
      </c>
      <c r="G55" s="50">
        <v>2393</v>
      </c>
      <c r="H55" s="50">
        <v>6000</v>
      </c>
      <c r="I55" s="50">
        <v>1082</v>
      </c>
      <c r="J55" s="50">
        <v>55318</v>
      </c>
    </row>
    <row r="56" spans="1:10">
      <c r="A56" s="50" t="s">
        <v>144</v>
      </c>
      <c r="B56" s="50" t="s">
        <v>77</v>
      </c>
      <c r="C56" s="50" t="s">
        <v>25</v>
      </c>
      <c r="D56" s="50" t="s">
        <v>22</v>
      </c>
      <c r="E56" s="50">
        <v>56798</v>
      </c>
      <c r="F56" s="50">
        <v>11359</v>
      </c>
      <c r="G56" s="50">
        <v>1242</v>
      </c>
      <c r="H56" s="50">
        <v>6815</v>
      </c>
      <c r="I56" s="50">
        <v>2070</v>
      </c>
      <c r="J56" s="50">
        <v>60514</v>
      </c>
    </row>
    <row r="57" spans="1:10">
      <c r="A57" s="50" t="s">
        <v>198</v>
      </c>
      <c r="B57" s="50" t="s">
        <v>46</v>
      </c>
      <c r="C57" s="50" t="s">
        <v>11</v>
      </c>
      <c r="D57" s="50" t="s">
        <v>28</v>
      </c>
      <c r="E57" s="50">
        <v>41355</v>
      </c>
      <c r="F57" s="50">
        <v>8271</v>
      </c>
      <c r="G57" s="50">
        <v>4809</v>
      </c>
      <c r="H57" s="50">
        <v>4962</v>
      </c>
      <c r="I57" s="50">
        <v>940</v>
      </c>
      <c r="J57" s="50">
        <v>48533</v>
      </c>
    </row>
    <row r="58" spans="1:10">
      <c r="A58" s="50" t="s">
        <v>45</v>
      </c>
      <c r="B58" s="50" t="s">
        <v>46</v>
      </c>
      <c r="C58" s="50" t="s">
        <v>15</v>
      </c>
      <c r="D58" s="50" t="s">
        <v>16</v>
      </c>
      <c r="E58" s="50">
        <v>21346</v>
      </c>
      <c r="F58" s="50">
        <v>4269</v>
      </c>
      <c r="G58" s="50">
        <v>4073</v>
      </c>
      <c r="H58" s="50">
        <v>2561</v>
      </c>
      <c r="I58" s="50">
        <v>2792</v>
      </c>
      <c r="J58" s="50">
        <v>24335</v>
      </c>
    </row>
    <row r="59" spans="1:10">
      <c r="A59" s="50" t="s">
        <v>131</v>
      </c>
      <c r="B59" s="50" t="s">
        <v>46</v>
      </c>
      <c r="C59" s="50" t="s">
        <v>49</v>
      </c>
      <c r="D59" s="50" t="s">
        <v>12</v>
      </c>
      <c r="E59" s="50">
        <v>51010</v>
      </c>
      <c r="F59" s="50">
        <v>10202</v>
      </c>
      <c r="G59" s="50">
        <v>2212</v>
      </c>
      <c r="H59" s="50">
        <v>6121</v>
      </c>
      <c r="I59" s="50">
        <v>1171</v>
      </c>
      <c r="J59" s="50">
        <v>56132</v>
      </c>
    </row>
    <row r="60" spans="1:10">
      <c r="A60" s="50" t="s">
        <v>110</v>
      </c>
      <c r="B60" s="50" t="s">
        <v>111</v>
      </c>
      <c r="C60" s="50" t="s">
        <v>25</v>
      </c>
      <c r="D60" s="50" t="s">
        <v>36</v>
      </c>
      <c r="E60" s="50">
        <v>51211</v>
      </c>
      <c r="F60" s="50">
        <v>10242</v>
      </c>
      <c r="G60" s="50">
        <v>2705</v>
      </c>
      <c r="H60" s="50">
        <v>6145</v>
      </c>
      <c r="I60" s="50">
        <v>2720</v>
      </c>
      <c r="J60" s="50">
        <v>55293</v>
      </c>
    </row>
    <row r="61" spans="1:10">
      <c r="A61" s="50" t="s">
        <v>186</v>
      </c>
      <c r="B61" s="50" t="s">
        <v>187</v>
      </c>
      <c r="C61" s="50" t="s">
        <v>25</v>
      </c>
      <c r="D61" s="50" t="s">
        <v>36</v>
      </c>
      <c r="E61" s="50">
        <v>23879</v>
      </c>
      <c r="F61" s="50">
        <v>4775</v>
      </c>
      <c r="G61" s="50">
        <v>3648</v>
      </c>
      <c r="H61" s="50">
        <v>2865</v>
      </c>
      <c r="I61" s="50">
        <v>2560</v>
      </c>
      <c r="J61" s="50">
        <v>26877</v>
      </c>
    </row>
    <row r="62" spans="1:10">
      <c r="A62" s="50" t="s">
        <v>269</v>
      </c>
      <c r="B62" s="50" t="s">
        <v>270</v>
      </c>
      <c r="C62" s="50" t="s">
        <v>11</v>
      </c>
      <c r="D62" s="50" t="s">
        <v>36</v>
      </c>
      <c r="E62" s="50">
        <v>25603</v>
      </c>
      <c r="F62" s="50">
        <v>5120</v>
      </c>
      <c r="G62" s="50">
        <v>4625</v>
      </c>
      <c r="H62" s="50">
        <v>3072</v>
      </c>
      <c r="I62" s="50">
        <v>963</v>
      </c>
      <c r="J62" s="50">
        <v>31313</v>
      </c>
    </row>
    <row r="63" spans="1:10">
      <c r="A63" s="50" t="s">
        <v>65</v>
      </c>
      <c r="B63" s="50" t="s">
        <v>44</v>
      </c>
      <c r="C63" s="50" t="s">
        <v>11</v>
      </c>
      <c r="D63" s="50" t="s">
        <v>36</v>
      </c>
      <c r="E63" s="50">
        <v>30807</v>
      </c>
      <c r="F63" s="50">
        <v>6161</v>
      </c>
      <c r="G63" s="50">
        <v>4281</v>
      </c>
      <c r="H63" s="50">
        <v>3696</v>
      </c>
      <c r="I63" s="50">
        <v>2285</v>
      </c>
      <c r="J63" s="50">
        <v>35268</v>
      </c>
    </row>
    <row r="64" spans="1:10">
      <c r="A64" s="50" t="s">
        <v>43</v>
      </c>
      <c r="B64" s="50" t="s">
        <v>44</v>
      </c>
      <c r="C64" s="50" t="s">
        <v>33</v>
      </c>
      <c r="D64" s="50" t="s">
        <v>22</v>
      </c>
      <c r="E64" s="50">
        <v>50686</v>
      </c>
      <c r="F64" s="50">
        <v>10137</v>
      </c>
      <c r="G64" s="50">
        <v>2700</v>
      </c>
      <c r="H64" s="50">
        <v>6082</v>
      </c>
      <c r="I64" s="50">
        <v>1471</v>
      </c>
      <c r="J64" s="50">
        <v>55970</v>
      </c>
    </row>
    <row r="65" spans="1:10">
      <c r="A65" s="50" t="s">
        <v>278</v>
      </c>
      <c r="B65" s="50" t="s">
        <v>213</v>
      </c>
      <c r="C65" s="50" t="s">
        <v>49</v>
      </c>
      <c r="D65" s="50" t="s">
        <v>16</v>
      </c>
      <c r="E65" s="50">
        <v>34761</v>
      </c>
      <c r="F65" s="50">
        <v>6952</v>
      </c>
      <c r="G65" s="50">
        <v>4444</v>
      </c>
      <c r="H65" s="50">
        <v>4171</v>
      </c>
      <c r="I65" s="50">
        <v>2662</v>
      </c>
      <c r="J65" s="50">
        <v>39324</v>
      </c>
    </row>
    <row r="66" spans="1:10">
      <c r="A66" s="50" t="s">
        <v>277</v>
      </c>
      <c r="B66" s="50" t="s">
        <v>213</v>
      </c>
      <c r="C66" s="50" t="s">
        <v>21</v>
      </c>
      <c r="D66" s="50" t="s">
        <v>36</v>
      </c>
      <c r="E66" s="50">
        <v>28036</v>
      </c>
      <c r="F66" s="50">
        <v>5607</v>
      </c>
      <c r="G66" s="50">
        <v>4056</v>
      </c>
      <c r="H66" s="50">
        <v>3364</v>
      </c>
      <c r="I66" s="50">
        <v>2529</v>
      </c>
      <c r="J66" s="50">
        <v>31806</v>
      </c>
    </row>
    <row r="67" spans="1:10">
      <c r="A67" s="50" t="s">
        <v>255</v>
      </c>
      <c r="B67" s="50" t="s">
        <v>213</v>
      </c>
      <c r="C67" s="50" t="s">
        <v>33</v>
      </c>
      <c r="D67" s="50" t="s">
        <v>36</v>
      </c>
      <c r="E67" s="50">
        <v>24608</v>
      </c>
      <c r="F67" s="50">
        <v>4921</v>
      </c>
      <c r="G67" s="50">
        <v>3746</v>
      </c>
      <c r="H67" s="50">
        <v>2952</v>
      </c>
      <c r="I67" s="50">
        <v>1344</v>
      </c>
      <c r="J67" s="50">
        <v>28979</v>
      </c>
    </row>
    <row r="68" spans="1:10">
      <c r="A68" s="50" t="s">
        <v>293</v>
      </c>
      <c r="B68" s="50" t="s">
        <v>213</v>
      </c>
      <c r="C68" s="50" t="s">
        <v>15</v>
      </c>
      <c r="D68" s="50" t="s">
        <v>12</v>
      </c>
      <c r="E68" s="50">
        <v>44932</v>
      </c>
      <c r="F68" s="50">
        <v>8986</v>
      </c>
      <c r="G68" s="50">
        <v>3564</v>
      </c>
      <c r="H68" s="50">
        <v>5391</v>
      </c>
      <c r="I68" s="50">
        <v>1665</v>
      </c>
      <c r="J68" s="50">
        <v>50426</v>
      </c>
    </row>
    <row r="69" spans="1:10">
      <c r="A69" s="50" t="s">
        <v>212</v>
      </c>
      <c r="B69" s="50" t="s">
        <v>213</v>
      </c>
      <c r="C69" s="50" t="s">
        <v>11</v>
      </c>
      <c r="D69" s="50" t="s">
        <v>28</v>
      </c>
      <c r="E69" s="50">
        <v>55922</v>
      </c>
      <c r="F69" s="50">
        <v>11184</v>
      </c>
      <c r="G69" s="50">
        <v>1414</v>
      </c>
      <c r="H69" s="50">
        <v>6710</v>
      </c>
      <c r="I69" s="50">
        <v>2072</v>
      </c>
      <c r="J69" s="50">
        <v>59738</v>
      </c>
    </row>
    <row r="70" spans="1:10">
      <c r="A70" s="50" t="s">
        <v>247</v>
      </c>
      <c r="B70" s="50" t="s">
        <v>104</v>
      </c>
      <c r="C70" s="50" t="s">
        <v>11</v>
      </c>
      <c r="D70" s="50" t="s">
        <v>22</v>
      </c>
      <c r="E70" s="50">
        <v>58437</v>
      </c>
      <c r="F70" s="50">
        <v>11687</v>
      </c>
      <c r="G70" s="50">
        <v>4184</v>
      </c>
      <c r="H70" s="50">
        <v>7012</v>
      </c>
      <c r="I70" s="50">
        <v>1655</v>
      </c>
      <c r="J70" s="50">
        <v>65641</v>
      </c>
    </row>
    <row r="71" spans="1:10">
      <c r="A71" s="50" t="s">
        <v>306</v>
      </c>
      <c r="B71" s="50" t="s">
        <v>104</v>
      </c>
      <c r="C71" s="50" t="s">
        <v>21</v>
      </c>
      <c r="D71" s="50" t="s">
        <v>22</v>
      </c>
      <c r="E71" s="50">
        <v>40021</v>
      </c>
      <c r="F71" s="50">
        <v>8004</v>
      </c>
      <c r="G71" s="50">
        <v>2799</v>
      </c>
      <c r="H71" s="50">
        <v>4802</v>
      </c>
      <c r="I71" s="50">
        <v>509</v>
      </c>
      <c r="J71" s="50">
        <v>45513</v>
      </c>
    </row>
    <row r="72" spans="1:10">
      <c r="A72" s="50" t="s">
        <v>112</v>
      </c>
      <c r="B72" s="50" t="s">
        <v>104</v>
      </c>
      <c r="C72" s="50" t="s">
        <v>21</v>
      </c>
      <c r="D72" s="50" t="s">
        <v>22</v>
      </c>
      <c r="E72" s="50">
        <v>30658</v>
      </c>
      <c r="F72" s="50">
        <v>6131</v>
      </c>
      <c r="G72" s="50">
        <v>2409</v>
      </c>
      <c r="H72" s="50">
        <v>3678</v>
      </c>
      <c r="I72" s="50">
        <v>739</v>
      </c>
      <c r="J72" s="50">
        <v>34781</v>
      </c>
    </row>
    <row r="73" spans="1:10">
      <c r="A73" s="50" t="s">
        <v>103</v>
      </c>
      <c r="B73" s="50" t="s">
        <v>104</v>
      </c>
      <c r="C73" s="50" t="s">
        <v>15</v>
      </c>
      <c r="D73" s="50" t="s">
        <v>28</v>
      </c>
      <c r="E73" s="50">
        <v>54060</v>
      </c>
      <c r="F73" s="50">
        <v>10812</v>
      </c>
      <c r="G73" s="50">
        <v>2221</v>
      </c>
      <c r="H73" s="50">
        <v>6487</v>
      </c>
      <c r="I73" s="50">
        <v>1182</v>
      </c>
      <c r="J73" s="50">
        <v>59424</v>
      </c>
    </row>
    <row r="74" spans="1:10">
      <c r="A74" s="50" t="s">
        <v>127</v>
      </c>
      <c r="B74" s="50" t="s">
        <v>128</v>
      </c>
      <c r="C74" s="50" t="s">
        <v>15</v>
      </c>
      <c r="D74" s="50" t="s">
        <v>36</v>
      </c>
      <c r="E74" s="50">
        <v>42021</v>
      </c>
      <c r="F74" s="50">
        <v>8404</v>
      </c>
      <c r="G74" s="50">
        <v>1994</v>
      </c>
      <c r="H74" s="50">
        <v>5042</v>
      </c>
      <c r="I74" s="50">
        <v>1731</v>
      </c>
      <c r="J74" s="50">
        <v>45646</v>
      </c>
    </row>
    <row r="75" spans="1:10">
      <c r="A75" s="50" t="s">
        <v>146</v>
      </c>
      <c r="B75" s="50" t="s">
        <v>128</v>
      </c>
      <c r="C75" s="50" t="s">
        <v>49</v>
      </c>
      <c r="D75" s="50" t="s">
        <v>36</v>
      </c>
      <c r="E75" s="50">
        <v>38040</v>
      </c>
      <c r="F75" s="50">
        <v>7608</v>
      </c>
      <c r="G75" s="50">
        <v>1592</v>
      </c>
      <c r="H75" s="50">
        <v>4564</v>
      </c>
      <c r="I75" s="50">
        <v>2341</v>
      </c>
      <c r="J75" s="50">
        <v>40335</v>
      </c>
    </row>
    <row r="76" spans="1:10">
      <c r="A76" s="50" t="s">
        <v>271</v>
      </c>
      <c r="B76" s="50" t="s">
        <v>71</v>
      </c>
      <c r="C76" s="50" t="s">
        <v>21</v>
      </c>
      <c r="D76" s="50" t="s">
        <v>16</v>
      </c>
      <c r="E76" s="50">
        <v>45728</v>
      </c>
      <c r="F76" s="50">
        <v>9145</v>
      </c>
      <c r="G76" s="50">
        <v>3213</v>
      </c>
      <c r="H76" s="50">
        <v>5487</v>
      </c>
      <c r="I76" s="50">
        <v>1760</v>
      </c>
      <c r="J76" s="50">
        <v>50839</v>
      </c>
    </row>
    <row r="77" spans="1:10">
      <c r="A77" s="50" t="s">
        <v>70</v>
      </c>
      <c r="B77" s="50" t="s">
        <v>71</v>
      </c>
      <c r="C77" s="50" t="s">
        <v>11</v>
      </c>
      <c r="D77" s="50" t="s">
        <v>28</v>
      </c>
      <c r="E77" s="50">
        <v>58854</v>
      </c>
      <c r="F77" s="50">
        <v>11770</v>
      </c>
      <c r="G77" s="50">
        <v>2337</v>
      </c>
      <c r="H77" s="50">
        <v>7062</v>
      </c>
      <c r="I77" s="50">
        <v>1153</v>
      </c>
      <c r="J77" s="50">
        <v>64746</v>
      </c>
    </row>
    <row r="78" spans="1:10">
      <c r="A78" s="50" t="s">
        <v>216</v>
      </c>
      <c r="B78" s="50" t="s">
        <v>217</v>
      </c>
      <c r="C78" s="50" t="s">
        <v>33</v>
      </c>
      <c r="D78" s="50" t="s">
        <v>16</v>
      </c>
      <c r="E78" s="50">
        <v>46843</v>
      </c>
      <c r="F78" s="50">
        <v>9368</v>
      </c>
      <c r="G78" s="50">
        <v>3385</v>
      </c>
      <c r="H78" s="50">
        <v>5621</v>
      </c>
      <c r="I78" s="50">
        <v>2653</v>
      </c>
      <c r="J78" s="50">
        <v>51322</v>
      </c>
    </row>
    <row r="79" spans="1:10">
      <c r="A79" s="50" t="s">
        <v>241</v>
      </c>
      <c r="B79" s="50" t="s">
        <v>236</v>
      </c>
      <c r="C79" s="50" t="s">
        <v>25</v>
      </c>
      <c r="D79" s="50" t="s">
        <v>22</v>
      </c>
      <c r="E79" s="50">
        <v>43339</v>
      </c>
      <c r="F79" s="50">
        <v>8667</v>
      </c>
      <c r="G79" s="50">
        <v>4867</v>
      </c>
      <c r="H79" s="50">
        <v>5200</v>
      </c>
      <c r="I79" s="50">
        <v>777</v>
      </c>
      <c r="J79" s="50">
        <v>50896</v>
      </c>
    </row>
    <row r="80" spans="1:10">
      <c r="A80" s="50" t="s">
        <v>235</v>
      </c>
      <c r="B80" s="50" t="s">
        <v>236</v>
      </c>
      <c r="C80" s="50" t="s">
        <v>33</v>
      </c>
      <c r="D80" s="50" t="s">
        <v>16</v>
      </c>
      <c r="E80" s="50">
        <v>15366</v>
      </c>
      <c r="F80" s="50">
        <v>3073</v>
      </c>
      <c r="G80" s="50">
        <v>3471</v>
      </c>
      <c r="H80" s="50">
        <v>1843</v>
      </c>
      <c r="I80" s="50">
        <v>1159</v>
      </c>
      <c r="J80" s="50">
        <v>18908</v>
      </c>
    </row>
    <row r="81" spans="1:10">
      <c r="A81" s="50" t="s">
        <v>80</v>
      </c>
      <c r="B81" s="50" t="s">
        <v>81</v>
      </c>
      <c r="C81" s="50" t="s">
        <v>25</v>
      </c>
      <c r="D81" s="50" t="s">
        <v>28</v>
      </c>
      <c r="E81" s="50">
        <v>41660</v>
      </c>
      <c r="F81" s="50">
        <v>8332</v>
      </c>
      <c r="G81" s="50">
        <v>4060</v>
      </c>
      <c r="H81" s="50">
        <v>4999</v>
      </c>
      <c r="I81" s="50">
        <v>2211</v>
      </c>
      <c r="J81" s="50">
        <v>46842</v>
      </c>
    </row>
    <row r="82" spans="1:10">
      <c r="A82" s="50" t="s">
        <v>266</v>
      </c>
      <c r="B82" s="50" t="s">
        <v>160</v>
      </c>
      <c r="C82" s="50" t="s">
        <v>21</v>
      </c>
      <c r="D82" s="50" t="s">
        <v>22</v>
      </c>
      <c r="E82" s="50">
        <v>37527</v>
      </c>
      <c r="F82" s="50">
        <v>7505</v>
      </c>
      <c r="G82" s="50">
        <v>4615</v>
      </c>
      <c r="H82" s="50">
        <v>4503</v>
      </c>
      <c r="I82" s="50">
        <v>2787</v>
      </c>
      <c r="J82" s="50">
        <v>42357</v>
      </c>
    </row>
    <row r="83" spans="1:10">
      <c r="A83" s="50" t="s">
        <v>159</v>
      </c>
      <c r="B83" s="50" t="s">
        <v>160</v>
      </c>
      <c r="C83" s="50" t="s">
        <v>11</v>
      </c>
      <c r="D83" s="50" t="s">
        <v>12</v>
      </c>
      <c r="E83" s="50">
        <v>42176</v>
      </c>
      <c r="F83" s="50">
        <v>8435</v>
      </c>
      <c r="G83" s="50">
        <v>4593</v>
      </c>
      <c r="H83" s="50">
        <v>5061</v>
      </c>
      <c r="I83" s="50">
        <v>1076</v>
      </c>
      <c r="J83" s="50">
        <v>49067</v>
      </c>
    </row>
    <row r="84" spans="1:10">
      <c r="A84" s="50" t="s">
        <v>303</v>
      </c>
      <c r="B84" s="50" t="s">
        <v>160</v>
      </c>
      <c r="C84" s="50" t="s">
        <v>33</v>
      </c>
      <c r="D84" s="50" t="s">
        <v>16</v>
      </c>
      <c r="E84" s="50">
        <v>36314</v>
      </c>
      <c r="F84" s="50">
        <v>7262</v>
      </c>
      <c r="G84" s="50">
        <v>1597</v>
      </c>
      <c r="H84" s="50">
        <v>4357</v>
      </c>
      <c r="I84" s="50">
        <v>653</v>
      </c>
      <c r="J84" s="50">
        <v>40163</v>
      </c>
    </row>
    <row r="85" spans="1:10">
      <c r="A85" s="50" t="s">
        <v>214</v>
      </c>
      <c r="B85" s="50" t="s">
        <v>58</v>
      </c>
      <c r="C85" s="50" t="s">
        <v>11</v>
      </c>
      <c r="D85" s="50" t="s">
        <v>12</v>
      </c>
      <c r="E85" s="50">
        <v>44515</v>
      </c>
      <c r="F85" s="50">
        <v>8903</v>
      </c>
      <c r="G85" s="50">
        <v>4534</v>
      </c>
      <c r="H85" s="50">
        <v>5341</v>
      </c>
      <c r="I85" s="50">
        <v>2003</v>
      </c>
      <c r="J85" s="50">
        <v>50608</v>
      </c>
    </row>
    <row r="86" spans="1:10">
      <c r="A86" s="50" t="s">
        <v>57</v>
      </c>
      <c r="B86" s="50" t="s">
        <v>58</v>
      </c>
      <c r="C86" s="50" t="s">
        <v>25</v>
      </c>
      <c r="D86" s="50" t="s">
        <v>12</v>
      </c>
      <c r="E86" s="50">
        <v>59566</v>
      </c>
      <c r="F86" s="50">
        <v>11913</v>
      </c>
      <c r="G86" s="50">
        <v>2393</v>
      </c>
      <c r="H86" s="50">
        <v>7147</v>
      </c>
      <c r="I86" s="50">
        <v>2473</v>
      </c>
      <c r="J86" s="50">
        <v>64252</v>
      </c>
    </row>
    <row r="87" spans="1:10">
      <c r="A87" s="50" t="s">
        <v>147</v>
      </c>
      <c r="B87" s="50" t="s">
        <v>64</v>
      </c>
      <c r="C87" s="50" t="s">
        <v>25</v>
      </c>
      <c r="D87" s="50" t="s">
        <v>12</v>
      </c>
      <c r="E87" s="50">
        <v>37103</v>
      </c>
      <c r="F87" s="50">
        <v>7420</v>
      </c>
      <c r="G87" s="50">
        <v>4410</v>
      </c>
      <c r="H87" s="50">
        <v>4452</v>
      </c>
      <c r="I87" s="50">
        <v>2633</v>
      </c>
      <c r="J87" s="50">
        <v>41848</v>
      </c>
    </row>
    <row r="88" spans="1:10">
      <c r="A88" s="50" t="s">
        <v>75</v>
      </c>
      <c r="B88" s="50" t="s">
        <v>64</v>
      </c>
      <c r="C88" s="50" t="s">
        <v>33</v>
      </c>
      <c r="D88" s="50" t="s">
        <v>36</v>
      </c>
      <c r="E88" s="50">
        <v>17050</v>
      </c>
      <c r="F88" s="50">
        <v>3410</v>
      </c>
      <c r="G88" s="50">
        <v>2485</v>
      </c>
      <c r="H88" s="50">
        <v>2046</v>
      </c>
      <c r="I88" s="50">
        <v>1141</v>
      </c>
      <c r="J88" s="50">
        <v>19758</v>
      </c>
    </row>
    <row r="89" spans="1:10">
      <c r="A89" s="50" t="s">
        <v>63</v>
      </c>
      <c r="B89" s="50" t="s">
        <v>64</v>
      </c>
      <c r="C89" s="50" t="s">
        <v>21</v>
      </c>
      <c r="D89" s="50" t="s">
        <v>22</v>
      </c>
      <c r="E89" s="50">
        <v>57939</v>
      </c>
      <c r="F89" s="50">
        <v>11587</v>
      </c>
      <c r="G89" s="50">
        <v>2009</v>
      </c>
      <c r="H89" s="50">
        <v>6952</v>
      </c>
      <c r="I89" s="50">
        <v>2705</v>
      </c>
      <c r="J89" s="50">
        <v>61878</v>
      </c>
    </row>
    <row r="90" spans="1:10">
      <c r="A90" s="50" t="s">
        <v>158</v>
      </c>
      <c r="B90" s="50" t="s">
        <v>64</v>
      </c>
      <c r="C90" s="50" t="s">
        <v>11</v>
      </c>
      <c r="D90" s="50" t="s">
        <v>22</v>
      </c>
      <c r="E90" s="50">
        <v>31439</v>
      </c>
      <c r="F90" s="50">
        <v>6287</v>
      </c>
      <c r="G90" s="50">
        <v>1512</v>
      </c>
      <c r="H90" s="50">
        <v>3772</v>
      </c>
      <c r="I90" s="50">
        <v>2270</v>
      </c>
      <c r="J90" s="50">
        <v>33196</v>
      </c>
    </row>
    <row r="91" spans="1:10">
      <c r="A91" s="50" t="s">
        <v>232</v>
      </c>
      <c r="B91" s="50" t="s">
        <v>233</v>
      </c>
      <c r="C91" s="50" t="s">
        <v>21</v>
      </c>
      <c r="D91" s="50" t="s">
        <v>36</v>
      </c>
      <c r="E91" s="50">
        <v>51541</v>
      </c>
      <c r="F91" s="50">
        <v>10308</v>
      </c>
      <c r="G91" s="50">
        <v>2523</v>
      </c>
      <c r="H91" s="50">
        <v>6184</v>
      </c>
      <c r="I91" s="50">
        <v>1836</v>
      </c>
      <c r="J91" s="50">
        <v>56352</v>
      </c>
    </row>
    <row r="92" spans="1:10">
      <c r="A92" s="50" t="s">
        <v>108</v>
      </c>
      <c r="B92" s="50" t="s">
        <v>109</v>
      </c>
      <c r="C92" s="50" t="s">
        <v>21</v>
      </c>
      <c r="D92" s="50" t="s">
        <v>12</v>
      </c>
      <c r="E92" s="50">
        <v>17539</v>
      </c>
      <c r="F92" s="50">
        <v>3507</v>
      </c>
      <c r="G92" s="50">
        <v>4041</v>
      </c>
      <c r="H92" s="50">
        <v>2104</v>
      </c>
      <c r="I92" s="50">
        <v>2416</v>
      </c>
      <c r="J92" s="50">
        <v>20567</v>
      </c>
    </row>
    <row r="93" spans="1:10">
      <c r="A93" s="50" t="s">
        <v>245</v>
      </c>
      <c r="B93" s="50" t="s">
        <v>109</v>
      </c>
      <c r="C93" s="50" t="s">
        <v>21</v>
      </c>
      <c r="D93" s="50" t="s">
        <v>16</v>
      </c>
      <c r="E93" s="50">
        <v>21484</v>
      </c>
      <c r="F93" s="50">
        <v>4296</v>
      </c>
      <c r="G93" s="50">
        <v>3006</v>
      </c>
      <c r="H93" s="50">
        <v>2578</v>
      </c>
      <c r="I93" s="50">
        <v>2889</v>
      </c>
      <c r="J93" s="50">
        <v>23319</v>
      </c>
    </row>
    <row r="94" spans="1:10">
      <c r="A94" s="50" t="s">
        <v>225</v>
      </c>
      <c r="B94" s="50" t="s">
        <v>87</v>
      </c>
      <c r="C94" s="50" t="s">
        <v>49</v>
      </c>
      <c r="D94" s="50" t="s">
        <v>28</v>
      </c>
      <c r="E94" s="50">
        <v>19448</v>
      </c>
      <c r="F94" s="50">
        <v>3889</v>
      </c>
      <c r="G94" s="50">
        <v>4435</v>
      </c>
      <c r="H94" s="50">
        <v>2333</v>
      </c>
      <c r="I94" s="50">
        <v>589</v>
      </c>
      <c r="J94" s="50">
        <v>24850</v>
      </c>
    </row>
    <row r="95" spans="1:10">
      <c r="A95" s="50" t="s">
        <v>86</v>
      </c>
      <c r="B95" s="50" t="s">
        <v>87</v>
      </c>
      <c r="C95" s="50" t="s">
        <v>15</v>
      </c>
      <c r="D95" s="50" t="s">
        <v>16</v>
      </c>
      <c r="E95" s="50">
        <v>54719</v>
      </c>
      <c r="F95" s="50">
        <v>10943</v>
      </c>
      <c r="G95" s="50">
        <v>2180</v>
      </c>
      <c r="H95" s="50">
        <v>6566</v>
      </c>
      <c r="I95" s="50">
        <v>2410</v>
      </c>
      <c r="J95" s="50">
        <v>58866</v>
      </c>
    </row>
    <row r="96" spans="1:10">
      <c r="A96" s="50" t="s">
        <v>253</v>
      </c>
      <c r="B96" s="50" t="s">
        <v>254</v>
      </c>
      <c r="C96" s="50" t="s">
        <v>49</v>
      </c>
      <c r="D96" s="50" t="s">
        <v>22</v>
      </c>
      <c r="E96" s="50">
        <v>32293</v>
      </c>
      <c r="F96" s="50">
        <v>6458</v>
      </c>
      <c r="G96" s="50">
        <v>4325</v>
      </c>
      <c r="H96" s="50">
        <v>3875</v>
      </c>
      <c r="I96" s="50">
        <v>2146</v>
      </c>
      <c r="J96" s="50">
        <v>37055</v>
      </c>
    </row>
    <row r="97" spans="1:10">
      <c r="A97" s="50" t="s">
        <v>230</v>
      </c>
      <c r="B97" s="50" t="s">
        <v>231</v>
      </c>
      <c r="C97" s="50" t="s">
        <v>15</v>
      </c>
      <c r="D97" s="50" t="s">
        <v>22</v>
      </c>
      <c r="E97" s="50">
        <v>15724</v>
      </c>
      <c r="F97" s="50">
        <v>3144</v>
      </c>
      <c r="G97" s="50">
        <v>4795</v>
      </c>
      <c r="H97" s="50">
        <v>1886</v>
      </c>
      <c r="I97" s="50">
        <v>2813</v>
      </c>
      <c r="J97" s="50">
        <v>18964</v>
      </c>
    </row>
    <row r="98" spans="1:10">
      <c r="A98" s="50" t="s">
        <v>275</v>
      </c>
      <c r="B98" s="50" t="s">
        <v>276</v>
      </c>
      <c r="C98" s="50" t="s">
        <v>15</v>
      </c>
      <c r="D98" s="50" t="s">
        <v>36</v>
      </c>
      <c r="E98" s="50">
        <v>18578</v>
      </c>
      <c r="F98" s="50">
        <v>3715</v>
      </c>
      <c r="G98" s="50">
        <v>2392</v>
      </c>
      <c r="H98" s="50">
        <v>2229</v>
      </c>
      <c r="I98" s="50">
        <v>2251</v>
      </c>
      <c r="J98" s="50">
        <v>20205</v>
      </c>
    </row>
    <row r="99" spans="1:10">
      <c r="A99" s="50" t="s">
        <v>37</v>
      </c>
      <c r="B99" s="50" t="s">
        <v>38</v>
      </c>
      <c r="C99" s="50" t="s">
        <v>21</v>
      </c>
      <c r="D99" s="50" t="s">
        <v>12</v>
      </c>
      <c r="E99" s="50">
        <v>44721</v>
      </c>
      <c r="F99" s="50">
        <v>8944</v>
      </c>
      <c r="G99" s="50">
        <v>3217</v>
      </c>
      <c r="H99" s="50">
        <v>5366</v>
      </c>
      <c r="I99" s="50">
        <v>2620</v>
      </c>
      <c r="J99" s="50">
        <v>48896</v>
      </c>
    </row>
    <row r="100" spans="1:10">
      <c r="A100" s="50" t="s">
        <v>259</v>
      </c>
      <c r="B100" s="50" t="s">
        <v>38</v>
      </c>
      <c r="C100" s="50" t="s">
        <v>21</v>
      </c>
      <c r="D100" s="50" t="s">
        <v>28</v>
      </c>
      <c r="E100" s="50">
        <v>30719</v>
      </c>
      <c r="F100" s="50">
        <v>6143</v>
      </c>
      <c r="G100" s="50">
        <v>3053</v>
      </c>
      <c r="H100" s="50">
        <v>3686</v>
      </c>
      <c r="I100" s="50">
        <v>1032</v>
      </c>
      <c r="J100" s="50">
        <v>35197</v>
      </c>
    </row>
    <row r="101" spans="1:10">
      <c r="A101" s="50" t="s">
        <v>189</v>
      </c>
      <c r="B101" s="50" t="s">
        <v>38</v>
      </c>
      <c r="C101" s="50" t="s">
        <v>25</v>
      </c>
      <c r="D101" s="50" t="s">
        <v>28</v>
      </c>
      <c r="E101" s="50">
        <v>48204</v>
      </c>
      <c r="F101" s="50">
        <v>9640</v>
      </c>
      <c r="G101" s="50">
        <v>2771</v>
      </c>
      <c r="H101" s="50">
        <v>5784</v>
      </c>
      <c r="I101" s="50">
        <v>1118</v>
      </c>
      <c r="J101" s="50">
        <v>53713</v>
      </c>
    </row>
    <row r="102" spans="1:10">
      <c r="A102" s="50" t="s">
        <v>281</v>
      </c>
      <c r="B102" s="50" t="s">
        <v>38</v>
      </c>
      <c r="C102" s="50" t="s">
        <v>21</v>
      </c>
      <c r="D102" s="50" t="s">
        <v>28</v>
      </c>
      <c r="E102" s="50">
        <v>56830</v>
      </c>
      <c r="F102" s="50">
        <v>11366</v>
      </c>
      <c r="G102" s="50">
        <v>1787</v>
      </c>
      <c r="H102" s="50">
        <v>6819</v>
      </c>
      <c r="I102" s="50">
        <v>1231</v>
      </c>
      <c r="J102" s="50">
        <v>61933</v>
      </c>
    </row>
    <row r="103" spans="1:10">
      <c r="A103" s="50" t="s">
        <v>105</v>
      </c>
      <c r="B103" s="50" t="s">
        <v>62</v>
      </c>
      <c r="C103" s="50" t="s">
        <v>25</v>
      </c>
      <c r="D103" s="50" t="s">
        <v>16</v>
      </c>
      <c r="E103" s="50">
        <v>44200</v>
      </c>
      <c r="F103" s="50">
        <v>8840</v>
      </c>
      <c r="G103" s="50">
        <v>4872</v>
      </c>
      <c r="H103" s="50">
        <v>5304</v>
      </c>
      <c r="I103" s="50">
        <v>2688</v>
      </c>
      <c r="J103" s="50">
        <v>49920</v>
      </c>
    </row>
    <row r="104" spans="1:10">
      <c r="A104" s="50" t="s">
        <v>192</v>
      </c>
      <c r="B104" s="50" t="s">
        <v>62</v>
      </c>
      <c r="C104" s="50" t="s">
        <v>21</v>
      </c>
      <c r="D104" s="50" t="s">
        <v>16</v>
      </c>
      <c r="E104" s="50">
        <v>54689</v>
      </c>
      <c r="F104" s="50">
        <v>10937</v>
      </c>
      <c r="G104" s="50">
        <v>4211</v>
      </c>
      <c r="H104" s="50">
        <v>6562</v>
      </c>
      <c r="I104" s="50">
        <v>2548</v>
      </c>
      <c r="J104" s="50">
        <v>60727</v>
      </c>
    </row>
    <row r="105" spans="1:10">
      <c r="A105" s="50" t="s">
        <v>61</v>
      </c>
      <c r="B105" s="50" t="s">
        <v>62</v>
      </c>
      <c r="C105" s="50" t="s">
        <v>11</v>
      </c>
      <c r="D105" s="50" t="s">
        <v>36</v>
      </c>
      <c r="E105" s="50">
        <v>28614</v>
      </c>
      <c r="F105" s="50">
        <v>5722</v>
      </c>
      <c r="G105" s="50">
        <v>4201</v>
      </c>
      <c r="H105" s="50">
        <v>3433</v>
      </c>
      <c r="I105" s="50">
        <v>900</v>
      </c>
      <c r="J105" s="50">
        <v>34204</v>
      </c>
    </row>
    <row r="106" spans="1:10">
      <c r="A106" s="50" t="s">
        <v>74</v>
      </c>
      <c r="B106" s="50" t="s">
        <v>62</v>
      </c>
      <c r="C106" s="50" t="s">
        <v>49</v>
      </c>
      <c r="D106" s="50" t="s">
        <v>36</v>
      </c>
      <c r="E106" s="50">
        <v>18278</v>
      </c>
      <c r="F106" s="50">
        <v>3655</v>
      </c>
      <c r="G106" s="50">
        <v>4149</v>
      </c>
      <c r="H106" s="50">
        <v>2193</v>
      </c>
      <c r="I106" s="50">
        <v>1944</v>
      </c>
      <c r="J106" s="50">
        <v>21945</v>
      </c>
    </row>
    <row r="107" spans="1:10">
      <c r="A107" s="50" t="s">
        <v>227</v>
      </c>
      <c r="B107" s="50" t="s">
        <v>62</v>
      </c>
      <c r="C107" s="50" t="s">
        <v>21</v>
      </c>
      <c r="D107" s="50" t="s">
        <v>36</v>
      </c>
      <c r="E107" s="50">
        <v>54718</v>
      </c>
      <c r="F107" s="50">
        <v>10943</v>
      </c>
      <c r="G107" s="50">
        <v>3992</v>
      </c>
      <c r="H107" s="50">
        <v>6566</v>
      </c>
      <c r="I107" s="50">
        <v>2074</v>
      </c>
      <c r="J107" s="50">
        <v>61013</v>
      </c>
    </row>
    <row r="108" spans="1:10">
      <c r="A108" s="50" t="s">
        <v>250</v>
      </c>
      <c r="B108" s="50" t="s">
        <v>62</v>
      </c>
      <c r="C108" s="50" t="s">
        <v>49</v>
      </c>
      <c r="D108" s="50" t="s">
        <v>22</v>
      </c>
      <c r="E108" s="50">
        <v>28719</v>
      </c>
      <c r="F108" s="50">
        <v>5743</v>
      </c>
      <c r="G108" s="50">
        <v>2488</v>
      </c>
      <c r="H108" s="50">
        <v>3446</v>
      </c>
      <c r="I108" s="50">
        <v>1341</v>
      </c>
      <c r="J108" s="50">
        <v>32163</v>
      </c>
    </row>
    <row r="109" spans="1:10">
      <c r="A109" s="50" t="s">
        <v>304</v>
      </c>
      <c r="B109" s="50" t="s">
        <v>204</v>
      </c>
      <c r="C109" s="50" t="s">
        <v>15</v>
      </c>
      <c r="D109" s="50" t="s">
        <v>12</v>
      </c>
      <c r="E109" s="50">
        <v>29950</v>
      </c>
      <c r="F109" s="50">
        <v>5990</v>
      </c>
      <c r="G109" s="50">
        <v>4887</v>
      </c>
      <c r="H109" s="50">
        <v>3594</v>
      </c>
      <c r="I109" s="50">
        <v>808</v>
      </c>
      <c r="J109" s="50">
        <v>36425</v>
      </c>
    </row>
    <row r="110" spans="1:10">
      <c r="A110" s="50" t="s">
        <v>203</v>
      </c>
      <c r="B110" s="50" t="s">
        <v>204</v>
      </c>
      <c r="C110" s="50" t="s">
        <v>33</v>
      </c>
      <c r="D110" s="50" t="s">
        <v>28</v>
      </c>
      <c r="E110" s="50">
        <v>35968</v>
      </c>
      <c r="F110" s="50">
        <v>7193</v>
      </c>
      <c r="G110" s="50">
        <v>4177</v>
      </c>
      <c r="H110" s="50">
        <v>4316</v>
      </c>
      <c r="I110" s="50">
        <v>2962</v>
      </c>
      <c r="J110" s="50">
        <v>40060</v>
      </c>
    </row>
    <row r="111" spans="1:10">
      <c r="A111" s="50" t="s">
        <v>134</v>
      </c>
      <c r="B111" s="50" t="s">
        <v>135</v>
      </c>
      <c r="C111" s="50" t="s">
        <v>11</v>
      </c>
      <c r="D111" s="50" t="s">
        <v>12</v>
      </c>
      <c r="E111" s="50">
        <v>17674</v>
      </c>
      <c r="F111" s="50">
        <v>3534</v>
      </c>
      <c r="G111" s="50">
        <v>3605</v>
      </c>
      <c r="H111" s="50">
        <v>2120</v>
      </c>
      <c r="I111" s="50">
        <v>666</v>
      </c>
      <c r="J111" s="50">
        <v>22027</v>
      </c>
    </row>
    <row r="112" spans="1:10">
      <c r="A112" s="50" t="s">
        <v>154</v>
      </c>
      <c r="B112" s="50" t="s">
        <v>135</v>
      </c>
      <c r="C112" s="50" t="s">
        <v>15</v>
      </c>
      <c r="D112" s="50" t="s">
        <v>28</v>
      </c>
      <c r="E112" s="50">
        <v>56132</v>
      </c>
      <c r="F112" s="50">
        <v>11226</v>
      </c>
      <c r="G112" s="50">
        <v>2431</v>
      </c>
      <c r="H112" s="50">
        <v>6735</v>
      </c>
      <c r="I112" s="50">
        <v>1442</v>
      </c>
      <c r="J112" s="50">
        <v>61612</v>
      </c>
    </row>
    <row r="113" spans="1:10">
      <c r="A113" s="50" t="s">
        <v>299</v>
      </c>
      <c r="B113" s="50" t="s">
        <v>135</v>
      </c>
      <c r="C113" s="50" t="s">
        <v>21</v>
      </c>
      <c r="D113" s="50" t="s">
        <v>28</v>
      </c>
      <c r="E113" s="50">
        <v>44736</v>
      </c>
      <c r="F113" s="50">
        <v>8947</v>
      </c>
      <c r="G113" s="50">
        <v>1993</v>
      </c>
      <c r="H113" s="50">
        <v>5368</v>
      </c>
      <c r="I113" s="50">
        <v>2662</v>
      </c>
      <c r="J113" s="50">
        <v>47646</v>
      </c>
    </row>
    <row r="114" spans="1:10">
      <c r="A114" s="50" t="s">
        <v>252</v>
      </c>
      <c r="B114" s="50" t="s">
        <v>135</v>
      </c>
      <c r="C114" s="50" t="s">
        <v>49</v>
      </c>
      <c r="D114" s="50" t="s">
        <v>28</v>
      </c>
      <c r="E114" s="50">
        <v>29075</v>
      </c>
      <c r="F114" s="50">
        <v>5815</v>
      </c>
      <c r="G114" s="50">
        <v>1144</v>
      </c>
      <c r="H114" s="50">
        <v>3489</v>
      </c>
      <c r="I114" s="50">
        <v>1843</v>
      </c>
      <c r="J114" s="50">
        <v>30702</v>
      </c>
    </row>
    <row r="115" spans="1:10">
      <c r="A115" s="50" t="s">
        <v>9</v>
      </c>
      <c r="B115" s="50" t="s">
        <v>10</v>
      </c>
      <c r="C115" s="50" t="s">
        <v>11</v>
      </c>
      <c r="D115" s="50" t="s">
        <v>12</v>
      </c>
      <c r="E115" s="50">
        <v>26626</v>
      </c>
      <c r="F115" s="50">
        <v>5325</v>
      </c>
      <c r="G115" s="50">
        <v>2857</v>
      </c>
      <c r="H115" s="50">
        <v>3195</v>
      </c>
      <c r="I115" s="50">
        <v>589</v>
      </c>
      <c r="J115" s="50">
        <v>31024</v>
      </c>
    </row>
    <row r="116" spans="1:10">
      <c r="A116" s="50" t="s">
        <v>157</v>
      </c>
      <c r="B116" s="50" t="s">
        <v>79</v>
      </c>
      <c r="C116" s="50" t="s">
        <v>11</v>
      </c>
      <c r="D116" s="50" t="s">
        <v>16</v>
      </c>
      <c r="E116" s="50">
        <v>32139</v>
      </c>
      <c r="F116" s="50">
        <v>6427</v>
      </c>
      <c r="G116" s="50">
        <v>3713</v>
      </c>
      <c r="H116" s="50">
        <v>3856</v>
      </c>
      <c r="I116" s="50">
        <v>910</v>
      </c>
      <c r="J116" s="50">
        <v>37513</v>
      </c>
    </row>
    <row r="117" spans="1:10">
      <c r="A117" s="50" t="s">
        <v>248</v>
      </c>
      <c r="B117" s="50" t="s">
        <v>79</v>
      </c>
      <c r="C117" s="50" t="s">
        <v>11</v>
      </c>
      <c r="D117" s="50" t="s">
        <v>12</v>
      </c>
      <c r="E117" s="50">
        <v>58014</v>
      </c>
      <c r="F117" s="50">
        <v>11602</v>
      </c>
      <c r="G117" s="50">
        <v>2075</v>
      </c>
      <c r="H117" s="50">
        <v>6961</v>
      </c>
      <c r="I117" s="50">
        <v>2240</v>
      </c>
      <c r="J117" s="50">
        <v>62490</v>
      </c>
    </row>
    <row r="118" spans="1:10">
      <c r="A118" s="50" t="s">
        <v>78</v>
      </c>
      <c r="B118" s="50" t="s">
        <v>79</v>
      </c>
      <c r="C118" s="50" t="s">
        <v>49</v>
      </c>
      <c r="D118" s="50" t="s">
        <v>36</v>
      </c>
      <c r="E118" s="50">
        <v>51981</v>
      </c>
      <c r="F118" s="50">
        <v>10396</v>
      </c>
      <c r="G118" s="50">
        <v>1887</v>
      </c>
      <c r="H118" s="50">
        <v>6237</v>
      </c>
      <c r="I118" s="50">
        <v>1021</v>
      </c>
      <c r="J118" s="50">
        <v>57006</v>
      </c>
    </row>
    <row r="119" spans="1:10">
      <c r="A119" s="50" t="s">
        <v>272</v>
      </c>
      <c r="B119" s="50" t="s">
        <v>273</v>
      </c>
      <c r="C119" s="50" t="s">
        <v>11</v>
      </c>
      <c r="D119" s="50" t="s">
        <v>22</v>
      </c>
      <c r="E119" s="50">
        <v>31114</v>
      </c>
      <c r="F119" s="50">
        <v>6222</v>
      </c>
      <c r="G119" s="50">
        <v>4572</v>
      </c>
      <c r="H119" s="50">
        <v>3733</v>
      </c>
      <c r="I119" s="50">
        <v>899</v>
      </c>
      <c r="J119" s="50">
        <v>37276</v>
      </c>
    </row>
    <row r="120" spans="1:10">
      <c r="A120" s="50" t="s">
        <v>300</v>
      </c>
      <c r="B120" s="50" t="s">
        <v>273</v>
      </c>
      <c r="C120" s="50" t="s">
        <v>33</v>
      </c>
      <c r="D120" s="50" t="s">
        <v>16</v>
      </c>
      <c r="E120" s="50">
        <v>20374</v>
      </c>
      <c r="F120" s="50">
        <v>4074</v>
      </c>
      <c r="G120" s="50">
        <v>3925</v>
      </c>
      <c r="H120" s="50">
        <v>2444</v>
      </c>
      <c r="I120" s="50">
        <v>1548</v>
      </c>
      <c r="J120" s="50">
        <v>24381</v>
      </c>
    </row>
    <row r="121" spans="1:10">
      <c r="A121" s="50" t="s">
        <v>99</v>
      </c>
      <c r="B121" s="50" t="s">
        <v>100</v>
      </c>
      <c r="C121" s="50" t="s">
        <v>49</v>
      </c>
      <c r="D121" s="50" t="s">
        <v>16</v>
      </c>
      <c r="E121" s="50">
        <v>43679</v>
      </c>
      <c r="F121" s="50">
        <v>8735</v>
      </c>
      <c r="G121" s="50">
        <v>4135</v>
      </c>
      <c r="H121" s="50">
        <v>5241</v>
      </c>
      <c r="I121" s="50">
        <v>536</v>
      </c>
      <c r="J121" s="50">
        <v>50772</v>
      </c>
    </row>
    <row r="122" spans="1:10">
      <c r="A122" s="50" t="s">
        <v>234</v>
      </c>
      <c r="B122" s="50" t="s">
        <v>100</v>
      </c>
      <c r="C122" s="50" t="s">
        <v>33</v>
      </c>
      <c r="D122" s="50" t="s">
        <v>36</v>
      </c>
      <c r="E122" s="50">
        <v>50182</v>
      </c>
      <c r="F122" s="50">
        <v>10036</v>
      </c>
      <c r="G122" s="50">
        <v>1905</v>
      </c>
      <c r="H122" s="50">
        <v>6021</v>
      </c>
      <c r="I122" s="50">
        <v>2091</v>
      </c>
      <c r="J122" s="50">
        <v>54011</v>
      </c>
    </row>
    <row r="123" spans="1:10">
      <c r="A123" s="50" t="s">
        <v>113</v>
      </c>
      <c r="B123" s="50" t="s">
        <v>60</v>
      </c>
      <c r="C123" s="50" t="s">
        <v>49</v>
      </c>
      <c r="D123" s="50" t="s">
        <v>16</v>
      </c>
      <c r="E123" s="50">
        <v>40674</v>
      </c>
      <c r="F123" s="50">
        <v>8134</v>
      </c>
      <c r="G123" s="50">
        <v>3415</v>
      </c>
      <c r="H123" s="50">
        <v>4880</v>
      </c>
      <c r="I123" s="50">
        <v>1469</v>
      </c>
      <c r="J123" s="50">
        <v>45874</v>
      </c>
    </row>
    <row r="124" spans="1:10">
      <c r="A124" s="50" t="s">
        <v>59</v>
      </c>
      <c r="B124" s="50" t="s">
        <v>60</v>
      </c>
      <c r="C124" s="50" t="s">
        <v>33</v>
      </c>
      <c r="D124" s="50" t="s">
        <v>16</v>
      </c>
      <c r="E124" s="50">
        <v>58194</v>
      </c>
      <c r="F124" s="50">
        <v>11638</v>
      </c>
      <c r="G124" s="50">
        <v>3214</v>
      </c>
      <c r="H124" s="50">
        <v>6983</v>
      </c>
      <c r="I124" s="50">
        <v>2659</v>
      </c>
      <c r="J124" s="50">
        <v>63404</v>
      </c>
    </row>
    <row r="125" spans="1:10">
      <c r="A125" s="50" t="s">
        <v>124</v>
      </c>
      <c r="B125" s="50" t="s">
        <v>60</v>
      </c>
      <c r="C125" s="50" t="s">
        <v>11</v>
      </c>
      <c r="D125" s="50" t="s">
        <v>36</v>
      </c>
      <c r="E125" s="50">
        <v>16498</v>
      </c>
      <c r="F125" s="50">
        <v>3299</v>
      </c>
      <c r="G125" s="50">
        <v>1938</v>
      </c>
      <c r="H125" s="50">
        <v>1979</v>
      </c>
      <c r="I125" s="50">
        <v>2190</v>
      </c>
      <c r="J125" s="50">
        <v>17566</v>
      </c>
    </row>
    <row r="126" spans="1:10">
      <c r="A126" s="50" t="s">
        <v>291</v>
      </c>
      <c r="B126" s="50" t="s">
        <v>60</v>
      </c>
      <c r="C126" s="50" t="s">
        <v>15</v>
      </c>
      <c r="D126" s="50" t="s">
        <v>12</v>
      </c>
      <c r="E126" s="50">
        <v>54652</v>
      </c>
      <c r="F126" s="50">
        <v>10930</v>
      </c>
      <c r="G126" s="50">
        <v>1502</v>
      </c>
      <c r="H126" s="50">
        <v>6558</v>
      </c>
      <c r="I126" s="50">
        <v>904</v>
      </c>
      <c r="J126" s="50">
        <v>59622</v>
      </c>
    </row>
    <row r="127" spans="1:10">
      <c r="A127" s="50" t="s">
        <v>282</v>
      </c>
      <c r="B127" s="50" t="s">
        <v>283</v>
      </c>
      <c r="C127" s="50" t="s">
        <v>33</v>
      </c>
      <c r="D127" s="50" t="s">
        <v>36</v>
      </c>
      <c r="E127" s="50">
        <v>57412</v>
      </c>
      <c r="F127" s="50">
        <v>11482</v>
      </c>
      <c r="G127" s="50">
        <v>3348</v>
      </c>
      <c r="H127" s="50">
        <v>6889</v>
      </c>
      <c r="I127" s="50">
        <v>696</v>
      </c>
      <c r="J127" s="50">
        <v>64657</v>
      </c>
    </row>
    <row r="128" spans="1:10">
      <c r="A128" s="50" t="s">
        <v>129</v>
      </c>
      <c r="B128" s="50" t="s">
        <v>130</v>
      </c>
      <c r="C128" s="50" t="s">
        <v>21</v>
      </c>
      <c r="D128" s="50" t="s">
        <v>22</v>
      </c>
      <c r="E128" s="50">
        <v>33525</v>
      </c>
      <c r="F128" s="50">
        <v>6705</v>
      </c>
      <c r="G128" s="50">
        <v>4894</v>
      </c>
      <c r="H128" s="50">
        <v>4023</v>
      </c>
      <c r="I128" s="50">
        <v>956</v>
      </c>
      <c r="J128" s="50">
        <v>40145</v>
      </c>
    </row>
    <row r="129" spans="1:10">
      <c r="A129" s="50" t="s">
        <v>136</v>
      </c>
      <c r="B129" s="50" t="s">
        <v>130</v>
      </c>
      <c r="C129" s="50" t="s">
        <v>21</v>
      </c>
      <c r="D129" s="50" t="s">
        <v>22</v>
      </c>
      <c r="E129" s="50">
        <v>52585</v>
      </c>
      <c r="F129" s="50">
        <v>10517</v>
      </c>
      <c r="G129" s="50">
        <v>3584</v>
      </c>
      <c r="H129" s="50">
        <v>6310</v>
      </c>
      <c r="I129" s="50">
        <v>2562</v>
      </c>
      <c r="J129" s="50">
        <v>57814</v>
      </c>
    </row>
    <row r="130" spans="1:10">
      <c r="A130" s="50" t="s">
        <v>96</v>
      </c>
      <c r="B130" s="50" t="s">
        <v>97</v>
      </c>
      <c r="C130" s="50" t="s">
        <v>15</v>
      </c>
      <c r="D130" s="50" t="s">
        <v>22</v>
      </c>
      <c r="E130" s="50">
        <v>50770</v>
      </c>
      <c r="F130" s="50">
        <v>10154</v>
      </c>
      <c r="G130" s="50">
        <v>4829</v>
      </c>
      <c r="H130" s="50">
        <v>6092</v>
      </c>
      <c r="I130" s="50">
        <v>1054</v>
      </c>
      <c r="J130" s="50">
        <v>58607</v>
      </c>
    </row>
    <row r="131" spans="1:10">
      <c r="A131" s="50" t="s">
        <v>118</v>
      </c>
      <c r="B131" s="50" t="s">
        <v>97</v>
      </c>
      <c r="C131" s="50" t="s">
        <v>21</v>
      </c>
      <c r="D131" s="50" t="s">
        <v>16</v>
      </c>
      <c r="E131" s="50">
        <v>20988</v>
      </c>
      <c r="F131" s="50">
        <v>4197</v>
      </c>
      <c r="G131" s="50">
        <v>2074</v>
      </c>
      <c r="H131" s="50">
        <v>2518</v>
      </c>
      <c r="I131" s="50">
        <v>1458</v>
      </c>
      <c r="J131" s="50">
        <v>23283</v>
      </c>
    </row>
    <row r="132" spans="1:10">
      <c r="A132" s="50" t="s">
        <v>305</v>
      </c>
      <c r="B132" s="50" t="s">
        <v>97</v>
      </c>
      <c r="C132" s="50" t="s">
        <v>49</v>
      </c>
      <c r="D132" s="50" t="s">
        <v>28</v>
      </c>
      <c r="E132" s="50">
        <v>40190</v>
      </c>
      <c r="F132" s="50">
        <v>8038</v>
      </c>
      <c r="G132" s="50">
        <v>1945</v>
      </c>
      <c r="H132" s="50">
        <v>4822</v>
      </c>
      <c r="I132" s="50">
        <v>2466</v>
      </c>
      <c r="J132" s="50">
        <v>42885</v>
      </c>
    </row>
    <row r="133" spans="1:10">
      <c r="A133" s="50" t="s">
        <v>229</v>
      </c>
      <c r="B133" s="50" t="s">
        <v>97</v>
      </c>
      <c r="C133" s="50" t="s">
        <v>49</v>
      </c>
      <c r="D133" s="50" t="s">
        <v>28</v>
      </c>
      <c r="E133" s="50">
        <v>34443</v>
      </c>
      <c r="F133" s="50">
        <v>6888</v>
      </c>
      <c r="G133" s="50">
        <v>1580</v>
      </c>
      <c r="H133" s="50">
        <v>4133</v>
      </c>
      <c r="I133" s="50">
        <v>2147</v>
      </c>
      <c r="J133" s="50">
        <v>36631</v>
      </c>
    </row>
    <row r="134" spans="1:10">
      <c r="A134" s="50" t="s">
        <v>114</v>
      </c>
      <c r="B134" s="50" t="s">
        <v>115</v>
      </c>
      <c r="C134" s="50" t="s">
        <v>49</v>
      </c>
      <c r="D134" s="50" t="s">
        <v>16</v>
      </c>
      <c r="E134" s="50">
        <v>26912</v>
      </c>
      <c r="F134" s="50">
        <v>5382</v>
      </c>
      <c r="G134" s="50">
        <v>1473</v>
      </c>
      <c r="H134" s="50">
        <v>3229</v>
      </c>
      <c r="I134" s="50">
        <v>1554</v>
      </c>
      <c r="J134" s="50">
        <v>28984</v>
      </c>
    </row>
    <row r="135" spans="1:10">
      <c r="A135" s="50" t="s">
        <v>243</v>
      </c>
      <c r="B135" s="50" t="s">
        <v>171</v>
      </c>
      <c r="C135" s="50" t="s">
        <v>15</v>
      </c>
      <c r="D135" s="50" t="s">
        <v>16</v>
      </c>
      <c r="E135" s="50">
        <v>39817</v>
      </c>
      <c r="F135" s="50">
        <v>7963</v>
      </c>
      <c r="G135" s="50">
        <v>3972</v>
      </c>
      <c r="H135" s="50">
        <v>4778</v>
      </c>
      <c r="I135" s="50">
        <v>1708</v>
      </c>
      <c r="J135" s="50">
        <v>45266</v>
      </c>
    </row>
    <row r="136" spans="1:10">
      <c r="A136" s="50" t="s">
        <v>224</v>
      </c>
      <c r="B136" s="50" t="s">
        <v>171</v>
      </c>
      <c r="C136" s="50" t="s">
        <v>15</v>
      </c>
      <c r="D136" s="50" t="s">
        <v>36</v>
      </c>
      <c r="E136" s="50">
        <v>33930</v>
      </c>
      <c r="F136" s="50">
        <v>6786</v>
      </c>
      <c r="G136" s="50">
        <v>3247</v>
      </c>
      <c r="H136" s="50">
        <v>4071</v>
      </c>
      <c r="I136" s="50">
        <v>1528</v>
      </c>
      <c r="J136" s="50">
        <v>38364</v>
      </c>
    </row>
    <row r="137" spans="1:10">
      <c r="A137" s="50" t="s">
        <v>170</v>
      </c>
      <c r="B137" s="50" t="s">
        <v>171</v>
      </c>
      <c r="C137" s="50" t="s">
        <v>11</v>
      </c>
      <c r="D137" s="50" t="s">
        <v>12</v>
      </c>
      <c r="E137" s="50">
        <v>41591</v>
      </c>
      <c r="F137" s="50">
        <v>8318</v>
      </c>
      <c r="G137" s="50">
        <v>3044</v>
      </c>
      <c r="H137" s="50">
        <v>4990</v>
      </c>
      <c r="I137" s="50">
        <v>2036</v>
      </c>
      <c r="J137" s="50">
        <v>45927</v>
      </c>
    </row>
    <row r="138" spans="1:10">
      <c r="A138" s="50" t="s">
        <v>237</v>
      </c>
      <c r="B138" s="50" t="s">
        <v>171</v>
      </c>
      <c r="C138" s="50" t="s">
        <v>33</v>
      </c>
      <c r="D138" s="50" t="s">
        <v>36</v>
      </c>
      <c r="E138" s="50">
        <v>19489</v>
      </c>
      <c r="F138" s="50">
        <v>3897</v>
      </c>
      <c r="G138" s="50">
        <v>1087</v>
      </c>
      <c r="H138" s="50">
        <v>2338</v>
      </c>
      <c r="I138" s="50">
        <v>2608</v>
      </c>
      <c r="J138" s="50">
        <v>19527</v>
      </c>
    </row>
    <row r="139" spans="1:10">
      <c r="A139" s="50" t="s">
        <v>31</v>
      </c>
      <c r="B139" s="50" t="s">
        <v>32</v>
      </c>
      <c r="C139" s="50" t="s">
        <v>33</v>
      </c>
      <c r="D139" s="50" t="s">
        <v>16</v>
      </c>
      <c r="E139" s="50">
        <v>36407</v>
      </c>
      <c r="F139" s="50">
        <v>7281</v>
      </c>
      <c r="G139" s="50">
        <v>1132</v>
      </c>
      <c r="H139" s="50">
        <v>4368</v>
      </c>
      <c r="I139" s="50">
        <v>1272</v>
      </c>
      <c r="J139" s="50">
        <v>39180</v>
      </c>
    </row>
    <row r="140" spans="1:10">
      <c r="A140" s="50" t="s">
        <v>239</v>
      </c>
      <c r="B140" s="50" t="s">
        <v>164</v>
      </c>
      <c r="C140" s="50" t="s">
        <v>21</v>
      </c>
      <c r="D140" s="50" t="s">
        <v>28</v>
      </c>
      <c r="E140" s="50">
        <v>54354</v>
      </c>
      <c r="F140" s="50">
        <v>10870</v>
      </c>
      <c r="G140" s="50">
        <v>2997</v>
      </c>
      <c r="H140" s="50">
        <v>6522</v>
      </c>
      <c r="I140" s="50">
        <v>1083</v>
      </c>
      <c r="J140" s="50">
        <v>60616</v>
      </c>
    </row>
    <row r="141" spans="1:10">
      <c r="A141" s="50" t="s">
        <v>163</v>
      </c>
      <c r="B141" s="50" t="s">
        <v>164</v>
      </c>
      <c r="C141" s="50" t="s">
        <v>33</v>
      </c>
      <c r="D141" s="50" t="s">
        <v>22</v>
      </c>
      <c r="E141" s="50">
        <v>36150</v>
      </c>
      <c r="F141" s="50">
        <v>7230</v>
      </c>
      <c r="G141" s="50">
        <v>2366</v>
      </c>
      <c r="H141" s="50">
        <v>4338</v>
      </c>
      <c r="I141" s="50">
        <v>2735</v>
      </c>
      <c r="J141" s="50">
        <v>38673</v>
      </c>
    </row>
    <row r="142" spans="1:10">
      <c r="A142" s="50" t="s">
        <v>50</v>
      </c>
      <c r="B142" s="50" t="s">
        <v>51</v>
      </c>
      <c r="C142" s="50" t="s">
        <v>11</v>
      </c>
      <c r="D142" s="50" t="s">
        <v>36</v>
      </c>
      <c r="E142" s="50">
        <v>18649</v>
      </c>
      <c r="F142" s="50">
        <v>3729</v>
      </c>
      <c r="G142" s="50">
        <v>3494</v>
      </c>
      <c r="H142" s="50">
        <v>2237</v>
      </c>
      <c r="I142" s="50">
        <v>1826</v>
      </c>
      <c r="J142" s="50">
        <v>21809</v>
      </c>
    </row>
    <row r="143" spans="1:10">
      <c r="A143" s="50" t="s">
        <v>195</v>
      </c>
      <c r="B143" s="50" t="s">
        <v>138</v>
      </c>
      <c r="C143" s="50" t="s">
        <v>33</v>
      </c>
      <c r="D143" s="50" t="s">
        <v>22</v>
      </c>
      <c r="E143" s="50">
        <v>53909</v>
      </c>
      <c r="F143" s="50">
        <v>10781</v>
      </c>
      <c r="G143" s="50">
        <v>3171</v>
      </c>
      <c r="H143" s="50">
        <v>6469</v>
      </c>
      <c r="I143" s="50">
        <v>2682</v>
      </c>
      <c r="J143" s="50">
        <v>58710</v>
      </c>
    </row>
    <row r="144" spans="1:10">
      <c r="A144" s="50" t="s">
        <v>137</v>
      </c>
      <c r="B144" s="50" t="s">
        <v>138</v>
      </c>
      <c r="C144" s="50" t="s">
        <v>49</v>
      </c>
      <c r="D144" s="50" t="s">
        <v>16</v>
      </c>
      <c r="E144" s="50">
        <v>55834</v>
      </c>
      <c r="F144" s="50">
        <v>11166</v>
      </c>
      <c r="G144" s="50">
        <v>1370</v>
      </c>
      <c r="H144" s="50">
        <v>6700</v>
      </c>
      <c r="I144" s="50">
        <v>1376</v>
      </c>
      <c r="J144" s="50">
        <v>60294</v>
      </c>
    </row>
    <row r="145" spans="1:10">
      <c r="A145" s="50" t="s">
        <v>122</v>
      </c>
      <c r="B145" s="50" t="s">
        <v>123</v>
      </c>
      <c r="C145" s="50" t="s">
        <v>49</v>
      </c>
      <c r="D145" s="50" t="s">
        <v>12</v>
      </c>
      <c r="E145" s="50">
        <v>57368</v>
      </c>
      <c r="F145" s="50">
        <v>11473</v>
      </c>
      <c r="G145" s="50">
        <v>4545</v>
      </c>
      <c r="H145" s="50">
        <v>6884</v>
      </c>
      <c r="I145" s="50">
        <v>1099</v>
      </c>
      <c r="J145" s="50">
        <v>65403</v>
      </c>
    </row>
    <row r="146" spans="1:10">
      <c r="A146" s="50" t="s">
        <v>141</v>
      </c>
      <c r="B146" s="50" t="s">
        <v>123</v>
      </c>
      <c r="C146" s="50" t="s">
        <v>15</v>
      </c>
      <c r="D146" s="50" t="s">
        <v>28</v>
      </c>
      <c r="E146" s="50">
        <v>18075</v>
      </c>
      <c r="F146" s="50">
        <v>3615</v>
      </c>
      <c r="G146" s="50">
        <v>2987</v>
      </c>
      <c r="H146" s="50">
        <v>2169</v>
      </c>
      <c r="I146" s="50">
        <v>2015</v>
      </c>
      <c r="J146" s="50">
        <v>20493</v>
      </c>
    </row>
    <row r="147" spans="1:10">
      <c r="A147" s="50" t="s">
        <v>268</v>
      </c>
      <c r="B147" s="50" t="s">
        <v>123</v>
      </c>
      <c r="C147" s="50" t="s">
        <v>25</v>
      </c>
      <c r="D147" s="50" t="s">
        <v>28</v>
      </c>
      <c r="E147" s="50">
        <v>54688</v>
      </c>
      <c r="F147" s="50">
        <v>10937</v>
      </c>
      <c r="G147" s="50">
        <v>2258</v>
      </c>
      <c r="H147" s="50">
        <v>6562</v>
      </c>
      <c r="I147" s="50">
        <v>1148</v>
      </c>
      <c r="J147" s="50">
        <v>60173</v>
      </c>
    </row>
    <row r="148" spans="1:10">
      <c r="A148" s="50" t="s">
        <v>219</v>
      </c>
      <c r="B148" s="50" t="s">
        <v>220</v>
      </c>
      <c r="C148" s="50" t="s">
        <v>25</v>
      </c>
      <c r="D148" s="50" t="s">
        <v>28</v>
      </c>
      <c r="E148" s="50">
        <v>34794</v>
      </c>
      <c r="F148" s="50">
        <v>6958</v>
      </c>
      <c r="G148" s="50">
        <v>1385</v>
      </c>
      <c r="H148" s="50">
        <v>4175</v>
      </c>
      <c r="I148" s="50">
        <v>1147</v>
      </c>
      <c r="J148" s="50">
        <v>37815</v>
      </c>
    </row>
    <row r="149" spans="1:10">
      <c r="A149" s="50" t="s">
        <v>180</v>
      </c>
      <c r="B149" s="50" t="s">
        <v>14</v>
      </c>
      <c r="C149" s="50" t="s">
        <v>11</v>
      </c>
      <c r="D149" s="50" t="s">
        <v>22</v>
      </c>
      <c r="E149" s="50">
        <v>29188</v>
      </c>
      <c r="F149" s="50">
        <v>5837</v>
      </c>
      <c r="G149" s="50">
        <v>4273</v>
      </c>
      <c r="H149" s="50">
        <v>3502</v>
      </c>
      <c r="I149" s="50">
        <v>1652</v>
      </c>
      <c r="J149" s="50">
        <v>34144</v>
      </c>
    </row>
    <row r="150" spans="1:10">
      <c r="A150" s="50" t="s">
        <v>215</v>
      </c>
      <c r="B150" s="50" t="s">
        <v>14</v>
      </c>
      <c r="C150" s="50" t="s">
        <v>33</v>
      </c>
      <c r="D150" s="50" t="s">
        <v>12</v>
      </c>
      <c r="E150" s="50">
        <v>56705</v>
      </c>
      <c r="F150" s="50">
        <v>11341</v>
      </c>
      <c r="G150" s="50">
        <v>4249</v>
      </c>
      <c r="H150" s="50">
        <v>6804</v>
      </c>
      <c r="I150" s="50">
        <v>2981</v>
      </c>
      <c r="J150" s="50">
        <v>62510</v>
      </c>
    </row>
    <row r="151" spans="1:10">
      <c r="A151" s="50" t="s">
        <v>182</v>
      </c>
      <c r="B151" s="50" t="s">
        <v>14</v>
      </c>
      <c r="C151" s="50" t="s">
        <v>11</v>
      </c>
      <c r="D151" s="50" t="s">
        <v>28</v>
      </c>
      <c r="E151" s="50">
        <v>42088</v>
      </c>
      <c r="F151" s="50">
        <v>8417</v>
      </c>
      <c r="G151" s="50">
        <v>3212</v>
      </c>
      <c r="H151" s="50">
        <v>5050</v>
      </c>
      <c r="I151" s="50">
        <v>1880</v>
      </c>
      <c r="J151" s="50">
        <v>46787</v>
      </c>
    </row>
    <row r="152" spans="1:10">
      <c r="A152" s="50" t="s">
        <v>175</v>
      </c>
      <c r="B152" s="50" t="s">
        <v>14</v>
      </c>
      <c r="C152" s="50" t="s">
        <v>49</v>
      </c>
      <c r="D152" s="50" t="s">
        <v>28</v>
      </c>
      <c r="E152" s="50">
        <v>22996</v>
      </c>
      <c r="F152" s="50">
        <v>4599</v>
      </c>
      <c r="G152" s="50">
        <v>3051</v>
      </c>
      <c r="H152" s="50">
        <v>2759</v>
      </c>
      <c r="I152" s="50">
        <v>1526</v>
      </c>
      <c r="J152" s="50">
        <v>26361</v>
      </c>
    </row>
    <row r="153" spans="1:10">
      <c r="A153" s="50" t="s">
        <v>13</v>
      </c>
      <c r="B153" s="50" t="s">
        <v>14</v>
      </c>
      <c r="C153" s="50" t="s">
        <v>15</v>
      </c>
      <c r="D153" s="50" t="s">
        <v>16</v>
      </c>
      <c r="E153" s="50">
        <v>45503</v>
      </c>
      <c r="F153" s="50">
        <v>9100</v>
      </c>
      <c r="G153" s="50">
        <v>1843</v>
      </c>
      <c r="H153" s="50">
        <v>5460</v>
      </c>
      <c r="I153" s="50">
        <v>1552</v>
      </c>
      <c r="J153" s="50">
        <v>49434</v>
      </c>
    </row>
    <row r="154" spans="1:10">
      <c r="A154" s="50" t="s">
        <v>205</v>
      </c>
      <c r="B154" s="50" t="s">
        <v>206</v>
      </c>
      <c r="C154" s="50" t="s">
        <v>33</v>
      </c>
      <c r="D154" s="50" t="s">
        <v>28</v>
      </c>
      <c r="E154" s="50">
        <v>56069</v>
      </c>
      <c r="F154" s="50">
        <v>11213</v>
      </c>
      <c r="G154" s="50">
        <v>3149</v>
      </c>
      <c r="H154" s="50">
        <v>6728</v>
      </c>
      <c r="I154" s="50">
        <v>1826</v>
      </c>
      <c r="J154" s="50">
        <v>61877</v>
      </c>
    </row>
    <row r="155" spans="1:10">
      <c r="A155" s="50" t="s">
        <v>223</v>
      </c>
      <c r="B155" s="50" t="s">
        <v>206</v>
      </c>
      <c r="C155" s="50" t="s">
        <v>25</v>
      </c>
      <c r="D155" s="50" t="s">
        <v>12</v>
      </c>
      <c r="E155" s="50">
        <v>16306</v>
      </c>
      <c r="F155" s="50">
        <v>3261</v>
      </c>
      <c r="G155" s="50">
        <v>2178</v>
      </c>
      <c r="H155" s="50">
        <v>1956</v>
      </c>
      <c r="I155" s="50">
        <v>1732</v>
      </c>
      <c r="J155" s="50">
        <v>18057</v>
      </c>
    </row>
    <row r="156" spans="1:10">
      <c r="A156" s="50" t="s">
        <v>116</v>
      </c>
      <c r="B156" s="50" t="s">
        <v>117</v>
      </c>
      <c r="C156" s="50" t="s">
        <v>25</v>
      </c>
      <c r="D156" s="50" t="s">
        <v>16</v>
      </c>
      <c r="E156" s="50">
        <v>29020</v>
      </c>
      <c r="F156" s="50">
        <v>5804</v>
      </c>
      <c r="G156" s="50">
        <v>3205</v>
      </c>
      <c r="H156" s="50">
        <v>3482</v>
      </c>
      <c r="I156" s="50">
        <v>1075</v>
      </c>
      <c r="J156" s="50">
        <v>33472</v>
      </c>
    </row>
    <row r="157" spans="1:10">
      <c r="A157" s="50" t="s">
        <v>161</v>
      </c>
      <c r="B157" s="50" t="s">
        <v>126</v>
      </c>
      <c r="C157" s="50" t="s">
        <v>49</v>
      </c>
      <c r="D157" s="50" t="s">
        <v>36</v>
      </c>
      <c r="E157" s="50">
        <v>54289</v>
      </c>
      <c r="F157" s="50">
        <v>10857</v>
      </c>
      <c r="G157" s="50">
        <v>3198</v>
      </c>
      <c r="H157" s="50">
        <v>6514</v>
      </c>
      <c r="I157" s="50">
        <v>1227</v>
      </c>
      <c r="J157" s="50">
        <v>60603</v>
      </c>
    </row>
    <row r="158" spans="1:10">
      <c r="A158" s="50" t="s">
        <v>162</v>
      </c>
      <c r="B158" s="50" t="s">
        <v>126</v>
      </c>
      <c r="C158" s="50" t="s">
        <v>11</v>
      </c>
      <c r="D158" s="50" t="s">
        <v>28</v>
      </c>
      <c r="E158" s="50">
        <v>54471</v>
      </c>
      <c r="F158" s="50">
        <v>10894</v>
      </c>
      <c r="G158" s="50">
        <v>2484</v>
      </c>
      <c r="H158" s="50">
        <v>6536</v>
      </c>
      <c r="I158" s="50">
        <v>1698</v>
      </c>
      <c r="J158" s="50">
        <v>59615</v>
      </c>
    </row>
    <row r="159" spans="1:10">
      <c r="A159" s="50" t="s">
        <v>190</v>
      </c>
      <c r="B159" s="50" t="s">
        <v>126</v>
      </c>
      <c r="C159" s="50" t="s">
        <v>11</v>
      </c>
      <c r="D159" s="50" t="s">
        <v>28</v>
      </c>
      <c r="E159" s="50">
        <v>22581</v>
      </c>
      <c r="F159" s="50">
        <v>4516</v>
      </c>
      <c r="G159" s="50">
        <v>1528</v>
      </c>
      <c r="H159" s="50">
        <v>2709</v>
      </c>
      <c r="I159" s="50">
        <v>1639</v>
      </c>
      <c r="J159" s="50">
        <v>24277</v>
      </c>
    </row>
    <row r="160" spans="1:10">
      <c r="A160" s="50" t="s">
        <v>125</v>
      </c>
      <c r="B160" s="50" t="s">
        <v>126</v>
      </c>
      <c r="C160" s="50" t="s">
        <v>15</v>
      </c>
      <c r="D160" s="50" t="s">
        <v>22</v>
      </c>
      <c r="E160" s="50">
        <v>38201</v>
      </c>
      <c r="F160" s="50">
        <v>7640</v>
      </c>
      <c r="G160" s="50">
        <v>1201</v>
      </c>
      <c r="H160" s="50">
        <v>4584</v>
      </c>
      <c r="I160" s="50">
        <v>2087</v>
      </c>
      <c r="J160" s="50">
        <v>40371</v>
      </c>
    </row>
    <row r="161" spans="1:10">
      <c r="A161" s="50" t="s">
        <v>90</v>
      </c>
      <c r="B161" s="50" t="s">
        <v>91</v>
      </c>
      <c r="C161" s="50" t="s">
        <v>11</v>
      </c>
      <c r="D161" s="50" t="s">
        <v>36</v>
      </c>
      <c r="E161" s="50">
        <v>30856</v>
      </c>
      <c r="F161" s="50">
        <v>6171</v>
      </c>
      <c r="G161" s="50">
        <v>4916</v>
      </c>
      <c r="H161" s="50">
        <v>3702</v>
      </c>
      <c r="I161" s="50">
        <v>670</v>
      </c>
      <c r="J161" s="50">
        <v>37571</v>
      </c>
    </row>
    <row r="162" spans="1:10">
      <c r="A162" s="50" t="s">
        <v>82</v>
      </c>
      <c r="B162" s="50" t="s">
        <v>83</v>
      </c>
      <c r="C162" s="50" t="s">
        <v>49</v>
      </c>
      <c r="D162" s="50" t="s">
        <v>16</v>
      </c>
      <c r="E162" s="50">
        <v>20162</v>
      </c>
      <c r="F162" s="50">
        <v>4032</v>
      </c>
      <c r="G162" s="50">
        <v>4304</v>
      </c>
      <c r="H162" s="50">
        <v>2419</v>
      </c>
      <c r="I162" s="50">
        <v>1175</v>
      </c>
      <c r="J162" s="50">
        <v>24904</v>
      </c>
    </row>
    <row r="163" spans="1:10">
      <c r="A163" s="50" t="s">
        <v>179</v>
      </c>
      <c r="B163" s="50" t="s">
        <v>83</v>
      </c>
      <c r="C163" s="50" t="s">
        <v>15</v>
      </c>
      <c r="D163" s="50" t="s">
        <v>36</v>
      </c>
      <c r="E163" s="50">
        <v>38431</v>
      </c>
      <c r="F163" s="50">
        <v>7686</v>
      </c>
      <c r="G163" s="50">
        <v>4114</v>
      </c>
      <c r="H163" s="50">
        <v>4611</v>
      </c>
      <c r="I163" s="50">
        <v>851</v>
      </c>
      <c r="J163" s="50">
        <v>44769</v>
      </c>
    </row>
    <row r="164" spans="1:10">
      <c r="A164" s="50" t="s">
        <v>288</v>
      </c>
      <c r="B164" s="50" t="s">
        <v>200</v>
      </c>
      <c r="C164" s="50" t="s">
        <v>11</v>
      </c>
      <c r="D164" s="50" t="s">
        <v>36</v>
      </c>
      <c r="E164" s="50">
        <v>44383</v>
      </c>
      <c r="F164" s="50">
        <v>8876</v>
      </c>
      <c r="G164" s="50">
        <v>3761</v>
      </c>
      <c r="H164" s="50">
        <v>5325</v>
      </c>
      <c r="I164" s="50">
        <v>2192</v>
      </c>
      <c r="J164" s="50">
        <v>49503</v>
      </c>
    </row>
    <row r="165" spans="1:10">
      <c r="A165" s="50" t="s">
        <v>199</v>
      </c>
      <c r="B165" s="50" t="s">
        <v>200</v>
      </c>
      <c r="C165" s="50" t="s">
        <v>33</v>
      </c>
      <c r="D165" s="50" t="s">
        <v>16</v>
      </c>
      <c r="E165" s="50">
        <v>42998</v>
      </c>
      <c r="F165" s="50">
        <v>8599</v>
      </c>
      <c r="G165" s="50">
        <v>2549</v>
      </c>
      <c r="H165" s="50">
        <v>5159</v>
      </c>
      <c r="I165" s="50">
        <v>2580</v>
      </c>
      <c r="J165" s="50">
        <v>46407</v>
      </c>
    </row>
    <row r="166" spans="1:10">
      <c r="A166" s="50" t="s">
        <v>301</v>
      </c>
      <c r="B166" s="50" t="s">
        <v>302</v>
      </c>
      <c r="C166" s="50" t="s">
        <v>21</v>
      </c>
      <c r="D166" s="50" t="s">
        <v>12</v>
      </c>
      <c r="E166" s="50">
        <v>23039</v>
      </c>
      <c r="F166" s="50">
        <v>4607</v>
      </c>
      <c r="G166" s="50">
        <v>2081</v>
      </c>
      <c r="H166" s="50">
        <v>2764</v>
      </c>
      <c r="I166" s="50">
        <v>1755</v>
      </c>
      <c r="J166" s="50">
        <v>25208</v>
      </c>
    </row>
    <row r="167" spans="1:10">
      <c r="A167" s="50" t="s">
        <v>221</v>
      </c>
      <c r="B167" s="50" t="s">
        <v>222</v>
      </c>
      <c r="C167" s="50" t="s">
        <v>15</v>
      </c>
      <c r="D167" s="50" t="s">
        <v>16</v>
      </c>
      <c r="E167" s="50">
        <v>41227</v>
      </c>
      <c r="F167" s="50">
        <v>8245</v>
      </c>
      <c r="G167" s="50">
        <v>4368</v>
      </c>
      <c r="H167" s="50">
        <v>4947</v>
      </c>
      <c r="I167" s="50">
        <v>917</v>
      </c>
      <c r="J167" s="50">
        <v>47976</v>
      </c>
    </row>
    <row r="168" spans="1:10">
      <c r="A168" s="50" t="s">
        <v>166</v>
      </c>
      <c r="B168" s="50" t="s">
        <v>167</v>
      </c>
      <c r="C168" s="50" t="s">
        <v>25</v>
      </c>
      <c r="D168" s="50" t="s">
        <v>36</v>
      </c>
      <c r="E168" s="50">
        <v>52666</v>
      </c>
      <c r="F168" s="50">
        <v>10533</v>
      </c>
      <c r="G168" s="50">
        <v>2438</v>
      </c>
      <c r="H168" s="50">
        <v>6319</v>
      </c>
      <c r="I168" s="50">
        <v>879</v>
      </c>
      <c r="J168" s="50">
        <v>58439</v>
      </c>
    </row>
    <row r="169" spans="1:10">
      <c r="A169" s="50" t="s">
        <v>207</v>
      </c>
      <c r="B169" s="50" t="s">
        <v>184</v>
      </c>
      <c r="C169" s="50" t="s">
        <v>15</v>
      </c>
      <c r="D169" s="50" t="s">
        <v>12</v>
      </c>
      <c r="E169" s="50">
        <v>26258</v>
      </c>
      <c r="F169" s="50">
        <v>5251</v>
      </c>
      <c r="G169" s="50">
        <v>3620</v>
      </c>
      <c r="H169" s="50">
        <v>3150</v>
      </c>
      <c r="I169" s="50">
        <v>507</v>
      </c>
      <c r="J169" s="50">
        <v>31472</v>
      </c>
    </row>
    <row r="170" spans="1:10">
      <c r="A170" s="50" t="s">
        <v>183</v>
      </c>
      <c r="B170" s="50" t="s">
        <v>184</v>
      </c>
      <c r="C170" s="50" t="s">
        <v>15</v>
      </c>
      <c r="D170" s="50" t="s">
        <v>12</v>
      </c>
      <c r="E170" s="50">
        <v>33275</v>
      </c>
      <c r="F170" s="50">
        <v>6655</v>
      </c>
      <c r="G170" s="50">
        <v>3400</v>
      </c>
      <c r="H170" s="50">
        <v>3993</v>
      </c>
      <c r="I170" s="50">
        <v>892</v>
      </c>
      <c r="J170" s="50">
        <v>38445</v>
      </c>
    </row>
    <row r="171" spans="1:10">
      <c r="A171" s="50" t="s">
        <v>172</v>
      </c>
      <c r="B171" s="50" t="s">
        <v>120</v>
      </c>
      <c r="C171" s="50" t="s">
        <v>25</v>
      </c>
      <c r="D171" s="50" t="s">
        <v>12</v>
      </c>
      <c r="E171" s="50">
        <v>31101</v>
      </c>
      <c r="F171" s="50">
        <v>6220</v>
      </c>
      <c r="G171" s="50">
        <v>2879</v>
      </c>
      <c r="H171" s="50">
        <v>3732</v>
      </c>
      <c r="I171" s="50">
        <v>2180</v>
      </c>
      <c r="J171" s="50">
        <v>34288</v>
      </c>
    </row>
    <row r="172" spans="1:10">
      <c r="A172" s="50" t="s">
        <v>211</v>
      </c>
      <c r="B172" s="50" t="s">
        <v>120</v>
      </c>
      <c r="C172" s="50" t="s">
        <v>33</v>
      </c>
      <c r="D172" s="50" t="s">
        <v>16</v>
      </c>
      <c r="E172" s="50">
        <v>22293</v>
      </c>
      <c r="F172" s="50">
        <v>4458</v>
      </c>
      <c r="G172" s="50">
        <v>2401</v>
      </c>
      <c r="H172" s="50">
        <v>2675</v>
      </c>
      <c r="I172" s="50">
        <v>2672</v>
      </c>
      <c r="J172" s="50">
        <v>23805</v>
      </c>
    </row>
    <row r="173" spans="1:10">
      <c r="A173" s="50" t="s">
        <v>119</v>
      </c>
      <c r="B173" s="50" t="s">
        <v>120</v>
      </c>
      <c r="C173" s="50" t="s">
        <v>49</v>
      </c>
      <c r="D173" s="50" t="s">
        <v>36</v>
      </c>
      <c r="E173" s="50">
        <v>54111</v>
      </c>
      <c r="F173" s="50">
        <v>10822</v>
      </c>
      <c r="G173" s="50">
        <v>1421</v>
      </c>
      <c r="H173" s="50">
        <v>6493</v>
      </c>
      <c r="I173" s="50">
        <v>2036</v>
      </c>
      <c r="J173" s="50">
        <v>57825</v>
      </c>
    </row>
    <row r="174" spans="1:10">
      <c r="A174" s="50" t="s">
        <v>121</v>
      </c>
      <c r="B174" s="50" t="s">
        <v>102</v>
      </c>
      <c r="C174" s="50" t="s">
        <v>25</v>
      </c>
      <c r="D174" s="50" t="s">
        <v>36</v>
      </c>
      <c r="E174" s="50">
        <v>52525</v>
      </c>
      <c r="F174" s="50">
        <v>10505</v>
      </c>
      <c r="G174" s="50">
        <v>3471</v>
      </c>
      <c r="H174" s="50">
        <v>6303</v>
      </c>
      <c r="I174" s="50">
        <v>1078</v>
      </c>
      <c r="J174" s="50">
        <v>59120</v>
      </c>
    </row>
    <row r="175" spans="1:10">
      <c r="A175" s="50" t="s">
        <v>101</v>
      </c>
      <c r="B175" s="50" t="s">
        <v>102</v>
      </c>
      <c r="C175" s="50" t="s">
        <v>21</v>
      </c>
      <c r="D175" s="50" t="s">
        <v>12</v>
      </c>
      <c r="E175" s="50">
        <v>32609</v>
      </c>
      <c r="F175" s="50">
        <v>6521</v>
      </c>
      <c r="G175" s="50">
        <v>1997</v>
      </c>
      <c r="H175" s="50">
        <v>3913</v>
      </c>
      <c r="I175" s="50">
        <v>992</v>
      </c>
      <c r="J175" s="50">
        <v>36222</v>
      </c>
    </row>
    <row r="176" spans="1:10">
      <c r="A176" s="50" t="s">
        <v>263</v>
      </c>
      <c r="B176" s="50" t="s">
        <v>143</v>
      </c>
      <c r="C176" s="50" t="s">
        <v>11</v>
      </c>
      <c r="D176" s="50" t="s">
        <v>28</v>
      </c>
      <c r="E176" s="50">
        <v>29171</v>
      </c>
      <c r="F176" s="50">
        <v>5834</v>
      </c>
      <c r="G176" s="50">
        <v>4820</v>
      </c>
      <c r="H176" s="50">
        <v>3500</v>
      </c>
      <c r="I176" s="50">
        <v>1454</v>
      </c>
      <c r="J176" s="50">
        <v>34871</v>
      </c>
    </row>
    <row r="177" spans="1:10">
      <c r="A177" s="50" t="s">
        <v>249</v>
      </c>
      <c r="B177" s="50" t="s">
        <v>143</v>
      </c>
      <c r="C177" s="50" t="s">
        <v>25</v>
      </c>
      <c r="D177" s="50" t="s">
        <v>12</v>
      </c>
      <c r="E177" s="50">
        <v>26143</v>
      </c>
      <c r="F177" s="50">
        <v>5228</v>
      </c>
      <c r="G177" s="50">
        <v>4237</v>
      </c>
      <c r="H177" s="50">
        <v>3137</v>
      </c>
      <c r="I177" s="50">
        <v>2907</v>
      </c>
      <c r="J177" s="50">
        <v>29564</v>
      </c>
    </row>
    <row r="178" spans="1:10">
      <c r="A178" s="50" t="s">
        <v>193</v>
      </c>
      <c r="B178" s="50" t="s">
        <v>143</v>
      </c>
      <c r="C178" s="50" t="s">
        <v>33</v>
      </c>
      <c r="D178" s="50" t="s">
        <v>22</v>
      </c>
      <c r="E178" s="50">
        <v>55145</v>
      </c>
      <c r="F178" s="50">
        <v>11029</v>
      </c>
      <c r="G178" s="50">
        <v>4126</v>
      </c>
      <c r="H178" s="50">
        <v>6617</v>
      </c>
      <c r="I178" s="50">
        <v>2824</v>
      </c>
      <c r="J178" s="50">
        <v>60859</v>
      </c>
    </row>
    <row r="179" spans="1:10">
      <c r="A179" s="50" t="s">
        <v>142</v>
      </c>
      <c r="B179" s="50" t="s">
        <v>143</v>
      </c>
      <c r="C179" s="50" t="s">
        <v>33</v>
      </c>
      <c r="D179" s="50" t="s">
        <v>28</v>
      </c>
      <c r="E179" s="50">
        <v>56480</v>
      </c>
      <c r="F179" s="50">
        <v>11296</v>
      </c>
      <c r="G179" s="50">
        <v>3958</v>
      </c>
      <c r="H179" s="50">
        <v>6777</v>
      </c>
      <c r="I179" s="50">
        <v>1462</v>
      </c>
      <c r="J179" s="50">
        <v>63495</v>
      </c>
    </row>
    <row r="180" spans="1:10">
      <c r="A180" s="50" t="s">
        <v>264</v>
      </c>
      <c r="B180" s="50" t="s">
        <v>149</v>
      </c>
      <c r="C180" s="50" t="s">
        <v>15</v>
      </c>
      <c r="D180" s="50" t="s">
        <v>12</v>
      </c>
      <c r="E180" s="50">
        <v>43125</v>
      </c>
      <c r="F180" s="50">
        <v>8625</v>
      </c>
      <c r="G180" s="50">
        <v>4910</v>
      </c>
      <c r="H180" s="50">
        <v>5175</v>
      </c>
      <c r="I180" s="50">
        <v>2123</v>
      </c>
      <c r="J180" s="50">
        <v>49362</v>
      </c>
    </row>
    <row r="181" spans="1:10">
      <c r="A181" s="50" t="s">
        <v>148</v>
      </c>
      <c r="B181" s="50" t="s">
        <v>149</v>
      </c>
      <c r="C181" s="50" t="s">
        <v>15</v>
      </c>
      <c r="D181" s="50" t="s">
        <v>36</v>
      </c>
      <c r="E181" s="50">
        <v>26869</v>
      </c>
      <c r="F181" s="50">
        <v>5373</v>
      </c>
      <c r="G181" s="50">
        <v>1912</v>
      </c>
      <c r="H181" s="50">
        <v>3224</v>
      </c>
      <c r="I181" s="50">
        <v>931</v>
      </c>
      <c r="J181" s="50">
        <v>29999</v>
      </c>
    </row>
    <row r="182" spans="1:10">
      <c r="A182" s="50" t="s">
        <v>284</v>
      </c>
      <c r="B182" s="50" t="s">
        <v>149</v>
      </c>
      <c r="C182" s="50" t="s">
        <v>15</v>
      </c>
      <c r="D182" s="50" t="s">
        <v>28</v>
      </c>
      <c r="E182" s="50">
        <v>20587</v>
      </c>
      <c r="F182" s="50">
        <v>4117</v>
      </c>
      <c r="G182" s="50">
        <v>1219</v>
      </c>
      <c r="H182" s="50">
        <v>2470</v>
      </c>
      <c r="I182" s="50">
        <v>962</v>
      </c>
      <c r="J182" s="50">
        <v>22491</v>
      </c>
    </row>
    <row r="183" spans="1:10">
      <c r="A183" s="50" t="s">
        <v>246</v>
      </c>
      <c r="B183" s="50" t="s">
        <v>152</v>
      </c>
      <c r="C183" s="50" t="s">
        <v>21</v>
      </c>
      <c r="D183" s="50" t="s">
        <v>16</v>
      </c>
      <c r="E183" s="50">
        <v>45604</v>
      </c>
      <c r="F183" s="50">
        <v>9120</v>
      </c>
      <c r="G183" s="50">
        <v>2993</v>
      </c>
      <c r="H183" s="50">
        <v>5472</v>
      </c>
      <c r="I183" s="50">
        <v>2564</v>
      </c>
      <c r="J183" s="50">
        <v>49681</v>
      </c>
    </row>
    <row r="184" spans="1:10">
      <c r="A184" s="50" t="s">
        <v>151</v>
      </c>
      <c r="B184" s="50" t="s">
        <v>152</v>
      </c>
      <c r="C184" s="50" t="s">
        <v>49</v>
      </c>
      <c r="D184" s="50" t="s">
        <v>28</v>
      </c>
      <c r="E184" s="50">
        <v>41221</v>
      </c>
      <c r="F184" s="50">
        <v>8244</v>
      </c>
      <c r="G184" s="50">
        <v>2197</v>
      </c>
      <c r="H184" s="50">
        <v>4946</v>
      </c>
      <c r="I184" s="50">
        <v>1358</v>
      </c>
      <c r="J184" s="50">
        <v>45358</v>
      </c>
    </row>
    <row r="185" spans="1:10">
      <c r="A185" s="50" t="s">
        <v>185</v>
      </c>
      <c r="B185" s="50" t="s">
        <v>152</v>
      </c>
      <c r="C185" s="50" t="s">
        <v>15</v>
      </c>
      <c r="D185" s="50" t="s">
        <v>12</v>
      </c>
      <c r="E185" s="50">
        <v>36840</v>
      </c>
      <c r="F185" s="50">
        <v>7368</v>
      </c>
      <c r="G185" s="50">
        <v>1566</v>
      </c>
      <c r="H185" s="50">
        <v>4420</v>
      </c>
      <c r="I185" s="50">
        <v>951</v>
      </c>
      <c r="J185" s="50">
        <v>40403</v>
      </c>
    </row>
    <row r="186" spans="1:10">
      <c r="A186" s="50" t="s">
        <v>294</v>
      </c>
      <c r="B186" s="50" t="s">
        <v>133</v>
      </c>
      <c r="C186" s="50" t="s">
        <v>21</v>
      </c>
      <c r="D186" s="50" t="s">
        <v>36</v>
      </c>
      <c r="E186" s="50">
        <v>48094</v>
      </c>
      <c r="F186" s="50">
        <v>9618</v>
      </c>
      <c r="G186" s="50">
        <v>4609</v>
      </c>
      <c r="H186" s="50">
        <v>5771</v>
      </c>
      <c r="I186" s="50">
        <v>890</v>
      </c>
      <c r="J186" s="50">
        <v>55660</v>
      </c>
    </row>
    <row r="187" spans="1:10">
      <c r="A187" s="50" t="s">
        <v>132</v>
      </c>
      <c r="B187" s="50" t="s">
        <v>133</v>
      </c>
      <c r="C187" s="50" t="s">
        <v>21</v>
      </c>
      <c r="D187" s="50" t="s">
        <v>36</v>
      </c>
      <c r="E187" s="50">
        <v>44575</v>
      </c>
      <c r="F187" s="50">
        <v>8915</v>
      </c>
      <c r="G187" s="50">
        <v>2575</v>
      </c>
      <c r="H187" s="50">
        <v>5349</v>
      </c>
      <c r="I187" s="50">
        <v>1152</v>
      </c>
      <c r="J187" s="50">
        <v>49564</v>
      </c>
    </row>
    <row r="188" spans="1:10">
      <c r="A188" s="50" t="s">
        <v>292</v>
      </c>
      <c r="B188" s="50" t="s">
        <v>133</v>
      </c>
      <c r="C188" s="50" t="s">
        <v>25</v>
      </c>
      <c r="D188" s="50" t="s">
        <v>36</v>
      </c>
      <c r="E188" s="50">
        <v>58644</v>
      </c>
      <c r="F188" s="50">
        <v>11728</v>
      </c>
      <c r="G188" s="50">
        <v>1460</v>
      </c>
      <c r="H188" s="50">
        <v>7037</v>
      </c>
      <c r="I188" s="50">
        <v>2651</v>
      </c>
      <c r="J188" s="50">
        <v>62144</v>
      </c>
    </row>
    <row r="189" spans="1:10">
      <c r="A189" s="50" t="s">
        <v>153</v>
      </c>
      <c r="B189" s="50" t="s">
        <v>133</v>
      </c>
      <c r="C189" s="50" t="s">
        <v>33</v>
      </c>
      <c r="D189" s="50" t="s">
        <v>36</v>
      </c>
      <c r="E189" s="50">
        <v>16076</v>
      </c>
      <c r="F189" s="50">
        <v>3215</v>
      </c>
      <c r="G189" s="50">
        <v>1339</v>
      </c>
      <c r="H189" s="50">
        <v>1929</v>
      </c>
      <c r="I189" s="50">
        <v>2840</v>
      </c>
      <c r="J189" s="50">
        <v>15861</v>
      </c>
    </row>
    <row r="190" spans="1:10">
      <c r="A190" s="50" t="s">
        <v>289</v>
      </c>
      <c r="B190" s="50" t="s">
        <v>290</v>
      </c>
      <c r="C190" s="50" t="s">
        <v>21</v>
      </c>
      <c r="D190" s="50" t="s">
        <v>36</v>
      </c>
      <c r="E190" s="50">
        <v>51276</v>
      </c>
      <c r="F190" s="50">
        <v>10255</v>
      </c>
      <c r="G190" s="50">
        <v>1963</v>
      </c>
      <c r="H190" s="50">
        <v>6153</v>
      </c>
      <c r="I190" s="50">
        <v>581</v>
      </c>
      <c r="J190" s="50">
        <v>56760</v>
      </c>
    </row>
    <row r="191" spans="1:10">
      <c r="A191" s="50" t="s">
        <v>19</v>
      </c>
      <c r="B191" s="50" t="s">
        <v>20</v>
      </c>
      <c r="C191" s="50" t="s">
        <v>21</v>
      </c>
      <c r="D191" s="50" t="s">
        <v>22</v>
      </c>
      <c r="E191" s="50">
        <v>55165</v>
      </c>
      <c r="F191" s="50">
        <v>11033</v>
      </c>
      <c r="G191" s="50">
        <v>4218</v>
      </c>
      <c r="H191" s="50">
        <v>6619</v>
      </c>
      <c r="I191" s="50">
        <v>2129</v>
      </c>
      <c r="J191" s="50">
        <v>61668</v>
      </c>
    </row>
    <row r="192" spans="1:10">
      <c r="A192" s="50" t="s">
        <v>84</v>
      </c>
      <c r="B192" s="50" t="s">
        <v>85</v>
      </c>
      <c r="C192" s="50" t="s">
        <v>15</v>
      </c>
      <c r="D192" s="50" t="s">
        <v>28</v>
      </c>
      <c r="E192" s="50">
        <v>32418</v>
      </c>
      <c r="F192" s="50">
        <v>6483</v>
      </c>
      <c r="G192" s="50">
        <v>4095</v>
      </c>
      <c r="H192" s="50">
        <v>3890</v>
      </c>
      <c r="I192" s="50">
        <v>860</v>
      </c>
      <c r="J192" s="50">
        <v>38246</v>
      </c>
    </row>
    <row r="193" spans="1:10">
      <c r="A193" s="50" t="s">
        <v>150</v>
      </c>
      <c r="B193" s="50" t="s">
        <v>85</v>
      </c>
      <c r="C193" s="50" t="s">
        <v>15</v>
      </c>
      <c r="D193" s="50" t="s">
        <v>36</v>
      </c>
      <c r="E193" s="50">
        <v>48105</v>
      </c>
      <c r="F193" s="50">
        <v>9621</v>
      </c>
      <c r="G193" s="50">
        <v>2692</v>
      </c>
      <c r="H193" s="50">
        <v>5772</v>
      </c>
      <c r="I193" s="50">
        <v>1164</v>
      </c>
      <c r="J193" s="50">
        <v>53482</v>
      </c>
    </row>
    <row r="194" spans="1:10">
      <c r="A194" s="50" t="s">
        <v>55</v>
      </c>
      <c r="B194" s="50" t="s">
        <v>56</v>
      </c>
      <c r="C194" s="50" t="s">
        <v>33</v>
      </c>
      <c r="D194" s="50" t="s">
        <v>12</v>
      </c>
      <c r="E194" s="50">
        <v>52561</v>
      </c>
      <c r="F194" s="50">
        <v>10512</v>
      </c>
      <c r="G194" s="50">
        <v>1437</v>
      </c>
      <c r="H194" s="50">
        <v>6307</v>
      </c>
      <c r="I194" s="50">
        <v>2006</v>
      </c>
      <c r="J194" s="50">
        <v>56197</v>
      </c>
    </row>
    <row r="195" spans="1:10">
      <c r="A195" s="50" t="s">
        <v>201</v>
      </c>
      <c r="B195" s="50" t="s">
        <v>95</v>
      </c>
      <c r="C195" s="50" t="s">
        <v>33</v>
      </c>
      <c r="D195" s="50" t="s">
        <v>16</v>
      </c>
      <c r="E195" s="50">
        <v>31672</v>
      </c>
      <c r="F195" s="50">
        <v>6334</v>
      </c>
      <c r="G195" s="50">
        <v>4247</v>
      </c>
      <c r="H195" s="50">
        <v>3800</v>
      </c>
      <c r="I195" s="50">
        <v>2002</v>
      </c>
      <c r="J195" s="50">
        <v>36451</v>
      </c>
    </row>
    <row r="196" spans="1:10">
      <c r="A196" s="50" t="s">
        <v>94</v>
      </c>
      <c r="B196" s="50" t="s">
        <v>95</v>
      </c>
      <c r="C196" s="50" t="s">
        <v>33</v>
      </c>
      <c r="D196" s="50" t="s">
        <v>36</v>
      </c>
      <c r="E196" s="50">
        <v>57521</v>
      </c>
      <c r="F196" s="50">
        <v>11504</v>
      </c>
      <c r="G196" s="50">
        <v>4002</v>
      </c>
      <c r="H196" s="50">
        <v>6902</v>
      </c>
      <c r="I196" s="50">
        <v>1251</v>
      </c>
      <c r="J196" s="50">
        <v>64874</v>
      </c>
    </row>
    <row r="197" spans="1:10">
      <c r="A197" s="50" t="s">
        <v>279</v>
      </c>
      <c r="B197" s="50" t="s">
        <v>95</v>
      </c>
      <c r="C197" s="50" t="s">
        <v>11</v>
      </c>
      <c r="D197" s="50" t="s">
        <v>16</v>
      </c>
      <c r="E197" s="50">
        <v>30390</v>
      </c>
      <c r="F197" s="50">
        <v>6078</v>
      </c>
      <c r="G197" s="50">
        <v>2198</v>
      </c>
      <c r="H197" s="50">
        <v>3646</v>
      </c>
      <c r="I197" s="50">
        <v>1258</v>
      </c>
      <c r="J197" s="50">
        <v>33762</v>
      </c>
    </row>
    <row r="198" spans="1:10">
      <c r="A198" s="50" t="s">
        <v>34</v>
      </c>
      <c r="B198" s="50" t="s">
        <v>35</v>
      </c>
      <c r="C198" s="50" t="s">
        <v>21</v>
      </c>
      <c r="D198" s="50" t="s">
        <v>36</v>
      </c>
      <c r="E198" s="50">
        <v>18268</v>
      </c>
      <c r="F198" s="50">
        <v>3653</v>
      </c>
      <c r="G198" s="50">
        <v>4479</v>
      </c>
      <c r="H198" s="50">
        <v>2192</v>
      </c>
      <c r="I198" s="50">
        <v>2026</v>
      </c>
      <c r="J198" s="50">
        <v>22182</v>
      </c>
    </row>
    <row r="199" spans="1:10">
      <c r="A199" s="50" t="s">
        <v>52</v>
      </c>
      <c r="B199" s="50" t="s">
        <v>35</v>
      </c>
      <c r="C199" s="50" t="s">
        <v>11</v>
      </c>
      <c r="D199" s="50" t="s">
        <v>16</v>
      </c>
      <c r="E199" s="50">
        <v>53156</v>
      </c>
      <c r="F199" s="50">
        <v>10631</v>
      </c>
      <c r="G199" s="50">
        <v>4251</v>
      </c>
      <c r="H199" s="50">
        <v>6378</v>
      </c>
      <c r="I199" s="50">
        <v>2976</v>
      </c>
      <c r="J199" s="50">
        <v>58684</v>
      </c>
    </row>
    <row r="200" spans="1:10">
      <c r="A200" s="50" t="s">
        <v>274</v>
      </c>
      <c r="B200" s="50" t="s">
        <v>35</v>
      </c>
      <c r="C200" s="50" t="s">
        <v>49</v>
      </c>
      <c r="D200" s="50" t="s">
        <v>28</v>
      </c>
      <c r="E200" s="50">
        <v>18268</v>
      </c>
      <c r="F200" s="50">
        <v>3653</v>
      </c>
      <c r="G200" s="50">
        <v>3386</v>
      </c>
      <c r="H200" s="50">
        <v>2192</v>
      </c>
      <c r="I200" s="50">
        <v>607</v>
      </c>
      <c r="J200" s="50">
        <v>22508</v>
      </c>
    </row>
    <row r="201" spans="1:10">
      <c r="A201" s="50" t="s">
        <v>178</v>
      </c>
      <c r="B201" s="50" t="s">
        <v>35</v>
      </c>
      <c r="C201" s="50" t="s">
        <v>33</v>
      </c>
      <c r="D201" s="50" t="s">
        <v>12</v>
      </c>
      <c r="E201" s="50">
        <v>28476</v>
      </c>
      <c r="F201" s="50">
        <v>5695</v>
      </c>
      <c r="G201" s="50">
        <v>1392</v>
      </c>
      <c r="H201" s="50">
        <v>3417</v>
      </c>
      <c r="I201" s="50">
        <v>1717</v>
      </c>
      <c r="J201" s="50">
        <v>30429</v>
      </c>
    </row>
  </sheetData>
  <sortState ref="A2:J201">
    <sortCondition ref="B1"/>
  </sortState>
  <mergeCells count="1">
    <mergeCell ref="L5:T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P36"/>
  <sheetViews>
    <sheetView tabSelected="1" workbookViewId="0">
      <selection activeCell="M28" sqref="M28"/>
    </sheetView>
  </sheetViews>
  <sheetFormatPr defaultRowHeight="14.4"/>
  <cols>
    <col min="1" max="2" width="12.5546875" customWidth="1"/>
    <col min="3" max="3" width="17" bestFit="1" customWidth="1"/>
    <col min="9" max="9" width="12.5546875" bestFit="1" customWidth="1"/>
    <col min="10" max="10" width="11" customWidth="1"/>
    <col min="15" max="15" width="12.5546875" bestFit="1" customWidth="1"/>
    <col min="16" max="16" width="17" bestFit="1" customWidth="1"/>
  </cols>
  <sheetData>
    <row r="3" spans="1:16">
      <c r="A3" s="74" t="s">
        <v>338</v>
      </c>
      <c r="B3" t="s">
        <v>340</v>
      </c>
      <c r="I3" s="74" t="s">
        <v>338</v>
      </c>
      <c r="J3" t="s">
        <v>341</v>
      </c>
      <c r="O3" s="74" t="s">
        <v>338</v>
      </c>
      <c r="P3" t="s">
        <v>342</v>
      </c>
    </row>
    <row r="4" spans="1:16">
      <c r="A4" s="75" t="s">
        <v>49</v>
      </c>
      <c r="B4" s="76">
        <v>159317</v>
      </c>
      <c r="I4" s="75" t="s">
        <v>49</v>
      </c>
      <c r="J4" s="76">
        <v>1327755</v>
      </c>
      <c r="O4" s="75" t="s">
        <v>49</v>
      </c>
      <c r="P4" s="76">
        <v>56057</v>
      </c>
    </row>
    <row r="5" spans="1:16">
      <c r="A5" s="75" t="s">
        <v>15</v>
      </c>
      <c r="B5" s="76">
        <v>144262</v>
      </c>
      <c r="I5" s="75" t="s">
        <v>15</v>
      </c>
      <c r="J5" s="76">
        <v>1202287</v>
      </c>
      <c r="O5" s="75" t="s">
        <v>15</v>
      </c>
      <c r="P5" s="76">
        <v>50399</v>
      </c>
    </row>
    <row r="6" spans="1:16">
      <c r="A6" s="75" t="s">
        <v>33</v>
      </c>
      <c r="B6" s="76">
        <v>173599</v>
      </c>
      <c r="I6" s="75" t="s">
        <v>33</v>
      </c>
      <c r="J6" s="76">
        <v>1446797</v>
      </c>
      <c r="O6" s="75" t="s">
        <v>33</v>
      </c>
      <c r="P6" s="76">
        <v>67986</v>
      </c>
    </row>
    <row r="7" spans="1:16">
      <c r="A7" s="75" t="s">
        <v>21</v>
      </c>
      <c r="B7" s="76">
        <v>171605</v>
      </c>
      <c r="I7" s="75" t="s">
        <v>21</v>
      </c>
      <c r="J7" s="76">
        <v>1430165</v>
      </c>
      <c r="O7" s="75" t="s">
        <v>21</v>
      </c>
      <c r="P7" s="76">
        <v>64918</v>
      </c>
    </row>
    <row r="8" spans="1:16">
      <c r="A8" s="75" t="s">
        <v>11</v>
      </c>
      <c r="B8" s="76">
        <v>146369</v>
      </c>
      <c r="I8" s="75" t="s">
        <v>11</v>
      </c>
      <c r="J8" s="76">
        <v>1219920</v>
      </c>
      <c r="O8" s="75" t="s">
        <v>11</v>
      </c>
      <c r="P8" s="76">
        <v>54512</v>
      </c>
    </row>
    <row r="9" spans="1:16">
      <c r="A9" s="75" t="s">
        <v>25</v>
      </c>
      <c r="B9" s="76">
        <v>133731</v>
      </c>
      <c r="I9" s="75" t="s">
        <v>25</v>
      </c>
      <c r="J9" s="76">
        <v>1114523</v>
      </c>
      <c r="O9" s="75" t="s">
        <v>25</v>
      </c>
      <c r="P9" s="76">
        <v>43602</v>
      </c>
    </row>
    <row r="10" spans="1:16">
      <c r="A10" s="75" t="s">
        <v>339</v>
      </c>
      <c r="B10" s="76">
        <v>928883</v>
      </c>
      <c r="I10" s="75" t="s">
        <v>339</v>
      </c>
      <c r="J10" s="76">
        <v>7741447</v>
      </c>
      <c r="O10" s="75" t="s">
        <v>339</v>
      </c>
      <c r="P10" s="76">
        <v>337474</v>
      </c>
    </row>
    <row r="28" spans="2:10">
      <c r="I28" s="74" t="s">
        <v>338</v>
      </c>
      <c r="J28" t="s">
        <v>344</v>
      </c>
    </row>
    <row r="29" spans="2:10">
      <c r="B29" s="74" t="s">
        <v>338</v>
      </c>
      <c r="C29" t="s">
        <v>343</v>
      </c>
      <c r="I29" s="75" t="s">
        <v>49</v>
      </c>
      <c r="J29" s="76">
        <v>265537</v>
      </c>
    </row>
    <row r="30" spans="2:10">
      <c r="B30" s="75" t="s">
        <v>49</v>
      </c>
      <c r="C30" s="76">
        <v>94650</v>
      </c>
      <c r="I30" s="75" t="s">
        <v>15</v>
      </c>
      <c r="J30" s="76">
        <v>240445</v>
      </c>
    </row>
    <row r="31" spans="2:10">
      <c r="B31" s="75" t="s">
        <v>15</v>
      </c>
      <c r="C31" s="76">
        <v>101248</v>
      </c>
      <c r="I31" s="75" t="s">
        <v>33</v>
      </c>
      <c r="J31" s="76">
        <v>289345</v>
      </c>
    </row>
    <row r="32" spans="2:10">
      <c r="B32" s="75" t="s">
        <v>33</v>
      </c>
      <c r="C32" s="76">
        <v>105566</v>
      </c>
      <c r="I32" s="75" t="s">
        <v>21</v>
      </c>
      <c r="J32" s="76">
        <v>286017</v>
      </c>
    </row>
    <row r="33" spans="2:10">
      <c r="B33" s="75" t="s">
        <v>21</v>
      </c>
      <c r="C33" s="76">
        <v>114195</v>
      </c>
      <c r="I33" s="75" t="s">
        <v>11</v>
      </c>
      <c r="J33" s="76">
        <v>243969</v>
      </c>
    </row>
    <row r="34" spans="2:10">
      <c r="B34" s="75" t="s">
        <v>11</v>
      </c>
      <c r="C34" s="76">
        <v>119992</v>
      </c>
      <c r="I34" s="75" t="s">
        <v>25</v>
      </c>
      <c r="J34" s="76">
        <v>222894</v>
      </c>
    </row>
    <row r="35" spans="2:10">
      <c r="B35" s="75" t="s">
        <v>25</v>
      </c>
      <c r="C35" s="76">
        <v>82303</v>
      </c>
      <c r="I35" s="75" t="s">
        <v>339</v>
      </c>
      <c r="J35" s="76">
        <v>1548207</v>
      </c>
    </row>
    <row r="36" spans="2:10">
      <c r="B36" s="75" t="s">
        <v>339</v>
      </c>
      <c r="C36" s="76">
        <v>617954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Employee_Salary</vt:lpstr>
      <vt:lpstr>Logical Functions</vt:lpstr>
      <vt:lpstr>LOOKups</vt:lpstr>
      <vt:lpstr>Sorting</vt:lpstr>
      <vt:lpstr>pivot chart &amp; 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2026-01-31T08:36:03Z</dcterms:created>
  <dcterms:modified xsi:type="dcterms:W3CDTF">2026-02-07T17:08:59Z</dcterms:modified>
</cp:coreProperties>
</file>